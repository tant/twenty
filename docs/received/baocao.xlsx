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13_ncr:1_{D03848F9-5ED9-4CDA-9165-3464C53023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" sheetId="2" r:id="rId1"/>
    <sheet name="BỆNH VIỆN" sheetId="3" r:id="rId2"/>
    <sheet name="MKT" sheetId="4" r:id="rId3"/>
    <sheet name="BSHT.CTV" sheetId="5" r:id="rId4"/>
    <sheet name="BC SỐ LIỆU" sheetId="6" state="hidden" r:id="rId5"/>
    <sheet name="Nguồn MKT&amp;BV" sheetId="7" state="hidden" r:id="rId6"/>
  </sheets>
  <externalReferences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9" i="4"/>
  <c r="C8" i="4"/>
  <c r="C7" i="4"/>
  <c r="C6" i="4"/>
  <c r="C5" i="4"/>
  <c r="M16" i="7"/>
  <c r="M15" i="7"/>
  <c r="M14" i="7"/>
  <c r="M13" i="7"/>
  <c r="K13" i="7"/>
  <c r="M12" i="7"/>
  <c r="M11" i="7"/>
  <c r="K11" i="7"/>
  <c r="N10" i="7"/>
  <c r="M10" i="7"/>
  <c r="N9" i="7"/>
  <c r="M9" i="7"/>
  <c r="N8" i="7"/>
  <c r="M8" i="7"/>
  <c r="M7" i="7"/>
  <c r="K7" i="7"/>
  <c r="D7" i="7"/>
  <c r="N7" i="7" s="1"/>
  <c r="S112" i="6"/>
  <c r="Q112" i="6"/>
  <c r="O112" i="6"/>
  <c r="M112" i="6"/>
  <c r="S111" i="6"/>
  <c r="Q111" i="6"/>
  <c r="O111" i="6"/>
  <c r="M111" i="6"/>
  <c r="S110" i="6"/>
  <c r="Q110" i="6"/>
  <c r="O110" i="6"/>
  <c r="M110" i="6"/>
  <c r="S109" i="6"/>
  <c r="Q109" i="6"/>
  <c r="O109" i="6"/>
  <c r="M109" i="6"/>
  <c r="S108" i="6"/>
  <c r="Q108" i="6"/>
  <c r="O108" i="6"/>
  <c r="M108" i="6"/>
  <c r="S107" i="6"/>
  <c r="Q107" i="6"/>
  <c r="O107" i="6"/>
  <c r="M107" i="6"/>
  <c r="S106" i="6"/>
  <c r="Q106" i="6"/>
  <c r="O106" i="6"/>
  <c r="M106" i="6"/>
  <c r="S105" i="6"/>
  <c r="Q105" i="6"/>
  <c r="O105" i="6"/>
  <c r="M105" i="6"/>
  <c r="S104" i="6"/>
  <c r="Q104" i="6"/>
  <c r="O104" i="6"/>
  <c r="M104" i="6"/>
  <c r="S103" i="6"/>
  <c r="Q103" i="6"/>
  <c r="O103" i="6"/>
  <c r="M103" i="6"/>
  <c r="S102" i="6"/>
  <c r="Q102" i="6"/>
  <c r="O102" i="6"/>
  <c r="M102" i="6"/>
  <c r="S101" i="6"/>
  <c r="Q101" i="6"/>
  <c r="O101" i="6"/>
  <c r="M101" i="6"/>
  <c r="S100" i="6"/>
  <c r="Q100" i="6"/>
  <c r="O100" i="6"/>
  <c r="M100" i="6"/>
  <c r="S99" i="6"/>
  <c r="Q99" i="6"/>
  <c r="O99" i="6"/>
  <c r="M99" i="6"/>
  <c r="S98" i="6"/>
  <c r="Q98" i="6"/>
  <c r="O98" i="6"/>
  <c r="M98" i="6"/>
  <c r="S97" i="6"/>
  <c r="Q97" i="6"/>
  <c r="O97" i="6"/>
  <c r="M97" i="6"/>
  <c r="S96" i="6"/>
  <c r="Q96" i="6"/>
  <c r="Q95" i="6" s="1"/>
  <c r="O96" i="6"/>
  <c r="O95" i="6" s="1"/>
  <c r="M96" i="6"/>
  <c r="S94" i="6"/>
  <c r="Q94" i="6"/>
  <c r="O94" i="6"/>
  <c r="M94" i="6"/>
  <c r="S93" i="6"/>
  <c r="Q93" i="6"/>
  <c r="O93" i="6"/>
  <c r="M93" i="6"/>
  <c r="S92" i="6"/>
  <c r="Q92" i="6"/>
  <c r="O92" i="6"/>
  <c r="M92" i="6"/>
  <c r="S91" i="6"/>
  <c r="Q91" i="6"/>
  <c r="O91" i="6"/>
  <c r="M91" i="6"/>
  <c r="S90" i="6"/>
  <c r="Q90" i="6"/>
  <c r="Q89" i="6" s="1"/>
  <c r="O90" i="6"/>
  <c r="O89" i="6" s="1"/>
  <c r="M90" i="6"/>
  <c r="S88" i="6"/>
  <c r="Q88" i="6"/>
  <c r="O88" i="6"/>
  <c r="M88" i="6"/>
  <c r="S87" i="6"/>
  <c r="Q87" i="6"/>
  <c r="O87" i="6"/>
  <c r="M87" i="6"/>
  <c r="S86" i="6"/>
  <c r="Q86" i="6"/>
  <c r="O86" i="6"/>
  <c r="M86" i="6"/>
  <c r="S85" i="6"/>
  <c r="Q85" i="6"/>
  <c r="O85" i="6"/>
  <c r="M85" i="6"/>
  <c r="S84" i="6"/>
  <c r="Q84" i="6"/>
  <c r="O84" i="6"/>
  <c r="M84" i="6"/>
  <c r="S83" i="6"/>
  <c r="Q83" i="6"/>
  <c r="O83" i="6"/>
  <c r="M83" i="6"/>
  <c r="S82" i="6"/>
  <c r="Q82" i="6"/>
  <c r="O82" i="6"/>
  <c r="M82" i="6"/>
  <c r="S81" i="6"/>
  <c r="Q81" i="6"/>
  <c r="O81" i="6"/>
  <c r="M81" i="6"/>
  <c r="S80" i="6"/>
  <c r="Q80" i="6"/>
  <c r="O80" i="6"/>
  <c r="M80" i="6"/>
  <c r="S79" i="6"/>
  <c r="Q79" i="6"/>
  <c r="O79" i="6"/>
  <c r="M79" i="6"/>
  <c r="S78" i="6"/>
  <c r="Q78" i="6"/>
  <c r="O78" i="6"/>
  <c r="M78" i="6"/>
  <c r="S77" i="6"/>
  <c r="Q77" i="6"/>
  <c r="O77" i="6"/>
  <c r="M77" i="6"/>
  <c r="S76" i="6"/>
  <c r="S75" i="6" s="1"/>
  <c r="Q76" i="6"/>
  <c r="O76" i="6"/>
  <c r="O75" i="6" s="1"/>
  <c r="M76" i="6"/>
  <c r="M75" i="6" s="1"/>
  <c r="S74" i="6"/>
  <c r="Q74" i="6"/>
  <c r="O74" i="6"/>
  <c r="M74" i="6"/>
  <c r="S73" i="6"/>
  <c r="Q73" i="6"/>
  <c r="O73" i="6"/>
  <c r="M73" i="6"/>
  <c r="S72" i="6"/>
  <c r="Q72" i="6"/>
  <c r="O72" i="6"/>
  <c r="M72" i="6"/>
  <c r="S71" i="6"/>
  <c r="Q71" i="6"/>
  <c r="O71" i="6"/>
  <c r="M71" i="6"/>
  <c r="S70" i="6"/>
  <c r="Q70" i="6"/>
  <c r="O70" i="6"/>
  <c r="M70" i="6"/>
  <c r="S69" i="6"/>
  <c r="Q69" i="6"/>
  <c r="O69" i="6"/>
  <c r="M69" i="6"/>
  <c r="S68" i="6"/>
  <c r="Q68" i="6"/>
  <c r="O68" i="6"/>
  <c r="M68" i="6"/>
  <c r="S67" i="6"/>
  <c r="Q67" i="6"/>
  <c r="O67" i="6"/>
  <c r="M67" i="6"/>
  <c r="S66" i="6"/>
  <c r="Q66" i="6"/>
  <c r="O66" i="6"/>
  <c r="M66" i="6"/>
  <c r="S65" i="6"/>
  <c r="Q65" i="6"/>
  <c r="O65" i="6"/>
  <c r="M65" i="6"/>
  <c r="S64" i="6"/>
  <c r="Q64" i="6"/>
  <c r="O64" i="6"/>
  <c r="M64" i="6"/>
  <c r="S63" i="6"/>
  <c r="Q63" i="6"/>
  <c r="O63" i="6"/>
  <c r="M63" i="6"/>
  <c r="S62" i="6"/>
  <c r="Q62" i="6"/>
  <c r="O62" i="6"/>
  <c r="M62" i="6"/>
  <c r="S61" i="6"/>
  <c r="S60" i="6" s="1"/>
  <c r="Q61" i="6"/>
  <c r="O61" i="6"/>
  <c r="M61" i="6"/>
  <c r="M60" i="6" s="1"/>
  <c r="O60" i="6"/>
  <c r="S59" i="6"/>
  <c r="Q59" i="6"/>
  <c r="O59" i="6"/>
  <c r="M59" i="6"/>
  <c r="S58" i="6"/>
  <c r="Q58" i="6"/>
  <c r="O58" i="6"/>
  <c r="M58" i="6"/>
  <c r="S57" i="6"/>
  <c r="Q57" i="6"/>
  <c r="O57" i="6"/>
  <c r="M57" i="6"/>
  <c r="S56" i="6"/>
  <c r="Q56" i="6"/>
  <c r="O56" i="6"/>
  <c r="M56" i="6"/>
  <c r="S55" i="6"/>
  <c r="Q55" i="6"/>
  <c r="O55" i="6"/>
  <c r="M55" i="6"/>
  <c r="S54" i="6"/>
  <c r="Q54" i="6"/>
  <c r="O54" i="6"/>
  <c r="M54" i="6"/>
  <c r="S53" i="6"/>
  <c r="Q53" i="6"/>
  <c r="O53" i="6"/>
  <c r="M53" i="6"/>
  <c r="S52" i="6"/>
  <c r="Q52" i="6"/>
  <c r="O52" i="6"/>
  <c r="M52" i="6"/>
  <c r="S51" i="6"/>
  <c r="Q51" i="6"/>
  <c r="O51" i="6"/>
  <c r="M51" i="6"/>
  <c r="S50" i="6"/>
  <c r="Q50" i="6"/>
  <c r="O50" i="6"/>
  <c r="M50" i="6"/>
  <c r="S49" i="6"/>
  <c r="Q49" i="6"/>
  <c r="O49" i="6"/>
  <c r="M49" i="6"/>
  <c r="S48" i="6"/>
  <c r="Q48" i="6"/>
  <c r="O48" i="6"/>
  <c r="O46" i="6" s="1"/>
  <c r="M48" i="6"/>
  <c r="S47" i="6"/>
  <c r="Q47" i="6"/>
  <c r="O47" i="6"/>
  <c r="M47" i="6"/>
  <c r="S46" i="6"/>
  <c r="Q46" i="6"/>
  <c r="S45" i="6"/>
  <c r="Q45" i="6"/>
  <c r="O45" i="6"/>
  <c r="M45" i="6"/>
  <c r="S44" i="6"/>
  <c r="Q44" i="6"/>
  <c r="O44" i="6"/>
  <c r="M44" i="6"/>
  <c r="S43" i="6"/>
  <c r="Q43" i="6"/>
  <c r="O43" i="6"/>
  <c r="M43" i="6"/>
  <c r="S42" i="6"/>
  <c r="Q42" i="6"/>
  <c r="O42" i="6"/>
  <c r="M42" i="6"/>
  <c r="S41" i="6"/>
  <c r="Q41" i="6"/>
  <c r="O41" i="6"/>
  <c r="M41" i="6"/>
  <c r="S40" i="6"/>
  <c r="S39" i="6" s="1"/>
  <c r="Q40" i="6"/>
  <c r="O40" i="6"/>
  <c r="M40" i="6"/>
  <c r="O39" i="6"/>
  <c r="M39" i="6"/>
  <c r="S33" i="6"/>
  <c r="Q33" i="6"/>
  <c r="O33" i="6"/>
  <c r="M33" i="6"/>
  <c r="S32" i="6"/>
  <c r="Q32" i="6"/>
  <c r="O32" i="6"/>
  <c r="M32" i="6"/>
  <c r="S31" i="6"/>
  <c r="Q31" i="6"/>
  <c r="O31" i="6"/>
  <c r="M31" i="6"/>
  <c r="S30" i="6"/>
  <c r="Q30" i="6"/>
  <c r="O30" i="6"/>
  <c r="M30" i="6"/>
  <c r="S29" i="6"/>
  <c r="Q29" i="6"/>
  <c r="O29" i="6"/>
  <c r="M29" i="6"/>
  <c r="S28" i="6"/>
  <c r="Q28" i="6"/>
  <c r="O28" i="6"/>
  <c r="M28" i="6"/>
  <c r="S27" i="6"/>
  <c r="S34" i="6" s="1"/>
  <c r="Q27" i="6"/>
  <c r="O27" i="6"/>
  <c r="M27" i="6"/>
  <c r="S21" i="6"/>
  <c r="Q21" i="6"/>
  <c r="O21" i="6"/>
  <c r="M21" i="6"/>
  <c r="S20" i="6"/>
  <c r="Q20" i="6"/>
  <c r="O20" i="6"/>
  <c r="M20" i="6"/>
  <c r="S18" i="6"/>
  <c r="Q18" i="6"/>
  <c r="O18" i="6"/>
  <c r="M18" i="6"/>
  <c r="S17" i="6"/>
  <c r="Q17" i="6"/>
  <c r="O17" i="6"/>
  <c r="M17" i="6"/>
  <c r="S16" i="6"/>
  <c r="Q16" i="6"/>
  <c r="O16" i="6"/>
  <c r="M16" i="6"/>
  <c r="S15" i="6"/>
  <c r="Q15" i="6"/>
  <c r="O15" i="6"/>
  <c r="M15" i="6"/>
  <c r="S14" i="6"/>
  <c r="Q14" i="6"/>
  <c r="O14" i="6"/>
  <c r="M14" i="6"/>
  <c r="S13" i="6"/>
  <c r="S19" i="6" s="1"/>
  <c r="Q13" i="6"/>
  <c r="O13" i="6"/>
  <c r="M13" i="6"/>
  <c r="M19" i="6" s="1"/>
  <c r="M12" i="6" s="1"/>
  <c r="M6" i="6" s="1"/>
  <c r="M8" i="6" s="1"/>
  <c r="U7" i="6"/>
  <c r="U8" i="6" s="1"/>
  <c r="S7" i="6"/>
  <c r="Q7" i="6"/>
  <c r="O7" i="6"/>
  <c r="M7" i="6"/>
  <c r="U6" i="6"/>
  <c r="T70" i="5"/>
  <c r="S70" i="5"/>
  <c r="R70" i="5"/>
  <c r="Q70" i="5"/>
  <c r="P70" i="5"/>
  <c r="O70" i="5"/>
  <c r="N70" i="5"/>
  <c r="I70" i="5"/>
  <c r="H70" i="5"/>
  <c r="G70" i="5"/>
  <c r="F70" i="5"/>
  <c r="E70" i="5"/>
  <c r="D70" i="5"/>
  <c r="C70" i="5"/>
  <c r="N9" i="4"/>
  <c r="M9" i="4"/>
  <c r="L9" i="4"/>
  <c r="K9" i="4"/>
  <c r="J9" i="4"/>
  <c r="I9" i="4"/>
  <c r="H9" i="4"/>
  <c r="G9" i="4"/>
  <c r="F9" i="4"/>
  <c r="E9" i="4"/>
  <c r="D9" i="4"/>
  <c r="N8" i="4"/>
  <c r="M8" i="4"/>
  <c r="L8" i="4"/>
  <c r="K8" i="4"/>
  <c r="J8" i="4"/>
  <c r="I8" i="4"/>
  <c r="H8" i="4"/>
  <c r="G8" i="4"/>
  <c r="F8" i="4"/>
  <c r="E8" i="4"/>
  <c r="D8" i="4"/>
  <c r="N7" i="4"/>
  <c r="M7" i="4"/>
  <c r="L7" i="4"/>
  <c r="K7" i="4"/>
  <c r="J7" i="4"/>
  <c r="I7" i="4"/>
  <c r="H7" i="4"/>
  <c r="G7" i="4"/>
  <c r="F7" i="4"/>
  <c r="E7" i="4"/>
  <c r="D7" i="4"/>
  <c r="N6" i="4"/>
  <c r="M6" i="4"/>
  <c r="L6" i="4"/>
  <c r="K6" i="4"/>
  <c r="J6" i="4"/>
  <c r="I6" i="4"/>
  <c r="H6" i="4"/>
  <c r="G6" i="4"/>
  <c r="F6" i="4"/>
  <c r="E6" i="4"/>
  <c r="D6" i="4"/>
  <c r="N5" i="4"/>
  <c r="M5" i="4"/>
  <c r="L5" i="4"/>
  <c r="K5" i="4"/>
  <c r="J5" i="4"/>
  <c r="I5" i="4"/>
  <c r="H5" i="4"/>
  <c r="G5" i="4"/>
  <c r="F5" i="4"/>
  <c r="E5" i="4"/>
  <c r="D5" i="4"/>
  <c r="N4" i="4"/>
  <c r="M4" i="4"/>
  <c r="L4" i="4"/>
  <c r="K4" i="4"/>
  <c r="J4" i="4"/>
  <c r="I4" i="4"/>
  <c r="H4" i="4"/>
  <c r="G4" i="4"/>
  <c r="F4" i="4"/>
  <c r="E4" i="4"/>
  <c r="D4" i="4"/>
  <c r="N9" i="3"/>
  <c r="M9" i="3"/>
  <c r="L9" i="3"/>
  <c r="K9" i="3"/>
  <c r="J9" i="3"/>
  <c r="I9" i="3"/>
  <c r="H9" i="3"/>
  <c r="G9" i="3"/>
  <c r="F9" i="3"/>
  <c r="E9" i="3"/>
  <c r="D9" i="3"/>
  <c r="C9" i="3"/>
  <c r="N8" i="3"/>
  <c r="M8" i="3"/>
  <c r="L8" i="3"/>
  <c r="K8" i="3"/>
  <c r="J8" i="3"/>
  <c r="I8" i="3"/>
  <c r="H8" i="3"/>
  <c r="G8" i="3"/>
  <c r="F8" i="3"/>
  <c r="E8" i="3"/>
  <c r="D8" i="3"/>
  <c r="C8" i="3"/>
  <c r="N7" i="3"/>
  <c r="M7" i="3"/>
  <c r="L7" i="3"/>
  <c r="K7" i="3"/>
  <c r="J7" i="3"/>
  <c r="I7" i="3"/>
  <c r="H7" i="3"/>
  <c r="G7" i="3"/>
  <c r="F7" i="3"/>
  <c r="E7" i="3"/>
  <c r="D7" i="3"/>
  <c r="C7" i="3"/>
  <c r="N6" i="3"/>
  <c r="M6" i="3"/>
  <c r="L6" i="3"/>
  <c r="K6" i="3"/>
  <c r="J6" i="3"/>
  <c r="I6" i="3"/>
  <c r="H6" i="3"/>
  <c r="G6" i="3"/>
  <c r="F6" i="3"/>
  <c r="E6" i="3"/>
  <c r="D6" i="3"/>
  <c r="C6" i="3"/>
  <c r="N5" i="3"/>
  <c r="M5" i="3"/>
  <c r="L5" i="3"/>
  <c r="K5" i="3"/>
  <c r="J5" i="3"/>
  <c r="I5" i="3"/>
  <c r="H5" i="3"/>
  <c r="G5" i="3"/>
  <c r="F5" i="3"/>
  <c r="E5" i="3"/>
  <c r="D5" i="3"/>
  <c r="C5" i="3"/>
  <c r="N4" i="3"/>
  <c r="M4" i="3"/>
  <c r="L4" i="3"/>
  <c r="K4" i="3"/>
  <c r="J4" i="3"/>
  <c r="I4" i="3"/>
  <c r="H4" i="3"/>
  <c r="G4" i="3"/>
  <c r="F4" i="3"/>
  <c r="E4" i="3"/>
  <c r="D4" i="3"/>
  <c r="C4" i="3"/>
  <c r="S95" i="6" l="1"/>
  <c r="T29" i="6"/>
  <c r="T32" i="6"/>
  <c r="S89" i="6"/>
  <c r="N15" i="6"/>
  <c r="N18" i="6"/>
  <c r="P63" i="6"/>
  <c r="P66" i="6"/>
  <c r="P69" i="6"/>
  <c r="P46" i="6"/>
  <c r="P51" i="6"/>
  <c r="O113" i="6"/>
  <c r="P72" i="6" s="1"/>
  <c r="P99" i="6"/>
  <c r="P102" i="6"/>
  <c r="P105" i="6"/>
  <c r="P108" i="6"/>
  <c r="P111" i="6"/>
  <c r="N16" i="6"/>
  <c r="N20" i="6"/>
  <c r="P61" i="6"/>
  <c r="P67" i="6"/>
  <c r="P73" i="6"/>
  <c r="P16" i="6"/>
  <c r="P20" i="6"/>
  <c r="P86" i="6"/>
  <c r="P89" i="6"/>
  <c r="P93" i="6"/>
  <c r="P97" i="6"/>
  <c r="P100" i="6"/>
  <c r="P103" i="6"/>
  <c r="T33" i="6"/>
  <c r="T30" i="6"/>
  <c r="T28" i="6"/>
  <c r="T31" i="6"/>
  <c r="S113" i="6"/>
  <c r="T104" i="6" s="1"/>
  <c r="T106" i="6"/>
  <c r="N14" i="6"/>
  <c r="N17" i="6"/>
  <c r="N21" i="6"/>
  <c r="N32" i="6"/>
  <c r="P21" i="6"/>
  <c r="P47" i="6"/>
  <c r="P50" i="6"/>
  <c r="P53" i="6"/>
  <c r="P56" i="6"/>
  <c r="P59" i="6"/>
  <c r="T68" i="6"/>
  <c r="P98" i="6"/>
  <c r="P101" i="6"/>
  <c r="P104" i="6"/>
  <c r="P107" i="6"/>
  <c r="P110" i="6"/>
  <c r="T13" i="6"/>
  <c r="T19" i="6" s="1"/>
  <c r="T27" i="6"/>
  <c r="M34" i="6"/>
  <c r="N29" i="6" s="1"/>
  <c r="Q39" i="6"/>
  <c r="M95" i="6"/>
  <c r="Q60" i="6"/>
  <c r="Q75" i="6"/>
  <c r="Q113" i="6" s="1"/>
  <c r="M89" i="6"/>
  <c r="S12" i="6"/>
  <c r="S6" i="6" s="1"/>
  <c r="S8" i="6" s="1"/>
  <c r="O34" i="6"/>
  <c r="P28" i="6" s="1"/>
  <c r="Q34" i="6"/>
  <c r="R33" i="6" s="1"/>
  <c r="M46" i="6"/>
  <c r="N13" i="6"/>
  <c r="N19" i="6" s="1"/>
  <c r="O19" i="6"/>
  <c r="O12" i="6" s="1"/>
  <c r="O6" i="6" s="1"/>
  <c r="O8" i="6" s="1"/>
  <c r="Q19" i="6"/>
  <c r="Q12" i="6" s="1"/>
  <c r="Q6" i="6" s="1"/>
  <c r="Q8" i="6" s="1"/>
  <c r="R101" i="6" l="1"/>
  <c r="R77" i="6"/>
  <c r="R79" i="6"/>
  <c r="R47" i="6"/>
  <c r="P91" i="6"/>
  <c r="P96" i="6"/>
  <c r="N31" i="6"/>
  <c r="T16" i="6"/>
  <c r="P74" i="6"/>
  <c r="P71" i="6"/>
  <c r="P88" i="6"/>
  <c r="P14" i="6"/>
  <c r="P58" i="6"/>
  <c r="P90" i="6"/>
  <c r="P84" i="6"/>
  <c r="P65" i="6"/>
  <c r="P112" i="6"/>
  <c r="P55" i="6"/>
  <c r="N28" i="6"/>
  <c r="P82" i="6"/>
  <c r="T15" i="6"/>
  <c r="T14" i="6"/>
  <c r="P94" i="6"/>
  <c r="P64" i="6"/>
  <c r="P42" i="6"/>
  <c r="P45" i="6"/>
  <c r="P87" i="6"/>
  <c r="P68" i="6"/>
  <c r="P85" i="6"/>
  <c r="P48" i="6"/>
  <c r="P81" i="6"/>
  <c r="P62" i="6"/>
  <c r="P40" i="6"/>
  <c r="P109" i="6"/>
  <c r="P52" i="6"/>
  <c r="P79" i="6"/>
  <c r="P83" i="6"/>
  <c r="P17" i="6"/>
  <c r="P80" i="6"/>
  <c r="P78" i="6"/>
  <c r="P43" i="6"/>
  <c r="P106" i="6"/>
  <c r="P49" i="6"/>
  <c r="P76" i="6"/>
  <c r="T67" i="6"/>
  <c r="T44" i="6"/>
  <c r="T101" i="6"/>
  <c r="T97" i="6"/>
  <c r="T65" i="6"/>
  <c r="T103" i="6"/>
  <c r="T108" i="6"/>
  <c r="R112" i="6"/>
  <c r="R31" i="6"/>
  <c r="T64" i="6"/>
  <c r="R95" i="6"/>
  <c r="R50" i="6"/>
  <c r="R42" i="6"/>
  <c r="R29" i="6"/>
  <c r="T41" i="6"/>
  <c r="T98" i="6"/>
  <c r="T59" i="6"/>
  <c r="R14" i="6"/>
  <c r="T62" i="6"/>
  <c r="T100" i="6"/>
  <c r="T102" i="6"/>
  <c r="R54" i="6"/>
  <c r="R109" i="6"/>
  <c r="R28" i="6"/>
  <c r="T18" i="6"/>
  <c r="T60" i="6"/>
  <c r="P13" i="6"/>
  <c r="P19" i="6" s="1"/>
  <c r="P12" i="6" s="1"/>
  <c r="R85" i="6"/>
  <c r="R32" i="6"/>
  <c r="P33" i="6"/>
  <c r="T94" i="6"/>
  <c r="T56" i="6"/>
  <c r="R73" i="6"/>
  <c r="T72" i="6"/>
  <c r="T95" i="6"/>
  <c r="T85" i="6"/>
  <c r="T88" i="6"/>
  <c r="R57" i="6"/>
  <c r="R67" i="6"/>
  <c r="R15" i="6"/>
  <c r="T66" i="6"/>
  <c r="P18" i="6"/>
  <c r="R41" i="6"/>
  <c r="T84" i="6"/>
  <c r="T47" i="6"/>
  <c r="R21" i="6"/>
  <c r="R45" i="6"/>
  <c r="R82" i="6"/>
  <c r="R96" i="6"/>
  <c r="T91" i="6"/>
  <c r="T58" i="6"/>
  <c r="R51" i="6"/>
  <c r="R40" i="6"/>
  <c r="R103" i="6"/>
  <c r="T105" i="6"/>
  <c r="T87" i="6"/>
  <c r="R104" i="6"/>
  <c r="T61" i="6"/>
  <c r="T90" i="6"/>
  <c r="R91" i="6"/>
  <c r="R97" i="6"/>
  <c r="R48" i="6"/>
  <c r="R64" i="6"/>
  <c r="R98" i="6"/>
  <c r="T63" i="6"/>
  <c r="P15" i="6"/>
  <c r="N33" i="6"/>
  <c r="T81" i="6"/>
  <c r="P44" i="6"/>
  <c r="R43" i="6"/>
  <c r="T99" i="6"/>
  <c r="R106" i="6"/>
  <c r="R20" i="6"/>
  <c r="T89" i="6"/>
  <c r="T96" i="6"/>
  <c r="R108" i="6"/>
  <c r="T50" i="6"/>
  <c r="T76" i="6"/>
  <c r="T52" i="6"/>
  <c r="R13" i="6"/>
  <c r="R19" i="6" s="1"/>
  <c r="R71" i="6"/>
  <c r="T111" i="6"/>
  <c r="R75" i="6"/>
  <c r="R68" i="6"/>
  <c r="N12" i="6"/>
  <c r="T86" i="6"/>
  <c r="T46" i="6"/>
  <c r="T57" i="6"/>
  <c r="R81" i="6"/>
  <c r="R93" i="6"/>
  <c r="R55" i="6"/>
  <c r="T92" i="6"/>
  <c r="R18" i="6"/>
  <c r="T45" i="6"/>
  <c r="R30" i="6"/>
  <c r="R61" i="6"/>
  <c r="T82" i="6"/>
  <c r="R87" i="6"/>
  <c r="P60" i="6"/>
  <c r="R72" i="6"/>
  <c r="N30" i="6"/>
  <c r="T78" i="6"/>
  <c r="P41" i="6"/>
  <c r="R74" i="6"/>
  <c r="R100" i="6"/>
  <c r="T49" i="6"/>
  <c r="R58" i="6"/>
  <c r="R60" i="6"/>
  <c r="T40" i="6"/>
  <c r="T43" i="6"/>
  <c r="R65" i="6"/>
  <c r="T83" i="6"/>
  <c r="T48" i="6"/>
  <c r="R89" i="6"/>
  <c r="R52" i="6"/>
  <c r="T79" i="6"/>
  <c r="R107" i="6"/>
  <c r="T42" i="6"/>
  <c r="R110" i="6"/>
  <c r="R111" i="6"/>
  <c r="R78" i="6"/>
  <c r="P95" i="6"/>
  <c r="P57" i="6"/>
  <c r="R69" i="6"/>
  <c r="N27" i="6"/>
  <c r="N34" i="6" s="1"/>
  <c r="P75" i="6"/>
  <c r="T21" i="6"/>
  <c r="R76" i="6"/>
  <c r="P30" i="6"/>
  <c r="T53" i="6"/>
  <c r="R90" i="6"/>
  <c r="T55" i="6"/>
  <c r="R27" i="6"/>
  <c r="R16" i="6"/>
  <c r="R70" i="6"/>
  <c r="T69" i="6"/>
  <c r="P27" i="6"/>
  <c r="R44" i="6"/>
  <c r="T93" i="6"/>
  <c r="T75" i="6"/>
  <c r="M113" i="6"/>
  <c r="T34" i="6"/>
  <c r="T39" i="6"/>
  <c r="R62" i="6"/>
  <c r="T80" i="6"/>
  <c r="R59" i="6"/>
  <c r="R86" i="6"/>
  <c r="R49" i="6"/>
  <c r="P70" i="6"/>
  <c r="R17" i="6"/>
  <c r="P77" i="6"/>
  <c r="P39" i="6"/>
  <c r="T51" i="6"/>
  <c r="R94" i="6"/>
  <c r="R99" i="6"/>
  <c r="P92" i="6"/>
  <c r="P54" i="6"/>
  <c r="R66" i="6"/>
  <c r="T110" i="6"/>
  <c r="T17" i="6"/>
  <c r="R39" i="6"/>
  <c r="T74" i="6"/>
  <c r="P32" i="6"/>
  <c r="T112" i="6"/>
  <c r="T77" i="6"/>
  <c r="R53" i="6"/>
  <c r="R83" i="6"/>
  <c r="R46" i="6"/>
  <c r="T73" i="6"/>
  <c r="P31" i="6"/>
  <c r="R84" i="6"/>
  <c r="R92" i="6"/>
  <c r="R63" i="6"/>
  <c r="T107" i="6"/>
  <c r="T71" i="6"/>
  <c r="P29" i="6"/>
  <c r="T109" i="6"/>
  <c r="T20" i="6"/>
  <c r="R105" i="6"/>
  <c r="R80" i="6"/>
  <c r="T54" i="6"/>
  <c r="T70" i="6"/>
  <c r="R102" i="6"/>
  <c r="R88" i="6"/>
  <c r="R56" i="6"/>
  <c r="T12" i="6" l="1"/>
  <c r="R12" i="6"/>
  <c r="N60" i="6"/>
  <c r="N99" i="6"/>
  <c r="N49" i="6"/>
  <c r="N86" i="6"/>
  <c r="N75" i="6"/>
  <c r="N43" i="6"/>
  <c r="N41" i="6"/>
  <c r="N56" i="6"/>
  <c r="N94" i="6"/>
  <c r="N102" i="6"/>
  <c r="N66" i="6"/>
  <c r="N52" i="6"/>
  <c r="N90" i="6"/>
  <c r="N59" i="6"/>
  <c r="N98" i="6"/>
  <c r="N91" i="6"/>
  <c r="N105" i="6"/>
  <c r="N69" i="6"/>
  <c r="N55" i="6"/>
  <c r="N93" i="6"/>
  <c r="N101" i="6"/>
  <c r="N70" i="6"/>
  <c r="N78" i="6"/>
  <c r="N108" i="6"/>
  <c r="N58" i="6"/>
  <c r="N97" i="6"/>
  <c r="N72" i="6"/>
  <c r="N104" i="6"/>
  <c r="N110" i="6"/>
  <c r="N111" i="6"/>
  <c r="N100" i="6"/>
  <c r="N107" i="6"/>
  <c r="N76" i="6"/>
  <c r="N103" i="6"/>
  <c r="N42" i="6"/>
  <c r="N48" i="6"/>
  <c r="N112" i="6"/>
  <c r="N68" i="6"/>
  <c r="N45" i="6"/>
  <c r="N81" i="6"/>
  <c r="N83" i="6"/>
  <c r="N63" i="6"/>
  <c r="N40" i="6"/>
  <c r="N53" i="6"/>
  <c r="N79" i="6"/>
  <c r="N106" i="6"/>
  <c r="N61" i="6"/>
  <c r="N62" i="6"/>
  <c r="N82" i="6"/>
  <c r="N109" i="6"/>
  <c r="N65" i="6"/>
  <c r="N85" i="6"/>
  <c r="N51" i="6"/>
  <c r="N88" i="6"/>
  <c r="N64" i="6"/>
  <c r="N39" i="6"/>
  <c r="N77" i="6"/>
  <c r="N71" i="6"/>
  <c r="N47" i="6"/>
  <c r="N84" i="6"/>
  <c r="N54" i="6"/>
  <c r="N92" i="6"/>
  <c r="N73" i="6"/>
  <c r="N80" i="6"/>
  <c r="N74" i="6"/>
  <c r="N67" i="6"/>
  <c r="N50" i="6"/>
  <c r="N87" i="6"/>
  <c r="N44" i="6"/>
  <c r="N57" i="6"/>
  <c r="N96" i="6"/>
  <c r="N46" i="6"/>
  <c r="R34" i="6"/>
  <c r="N95" i="6"/>
  <c r="N89" i="6"/>
  <c r="P34" i="6"/>
</calcChain>
</file>

<file path=xl/sharedStrings.xml><?xml version="1.0" encoding="utf-8"?>
<sst xmlns="http://schemas.openxmlformats.org/spreadsheetml/2006/main" count="646" uniqueCount="235">
  <si>
    <t>STT</t>
  </si>
  <si>
    <t>Tháng 01</t>
  </si>
  <si>
    <t>2026 - BÁO CÁO SỐ LIỆU TỔNG</t>
  </si>
  <si>
    <t xml:space="preserve">Từ Tháng 01.2026 </t>
  </si>
  <si>
    <t>Dịch vụ IVF &amp; TTPT</t>
  </si>
  <si>
    <t>THÁNG 01</t>
  </si>
  <si>
    <t>THÁNG 02</t>
  </si>
  <si>
    <t>IUI</t>
  </si>
  <si>
    <t>Nguồn BV</t>
  </si>
  <si>
    <t>Nguồn MKT</t>
  </si>
  <si>
    <t>Nguồn BSHT/CTV</t>
  </si>
  <si>
    <t>CHỌC HÚT (OPU)</t>
  </si>
  <si>
    <t>CHUYỂN PHÔI</t>
  </si>
  <si>
    <t>TT/PT</t>
  </si>
  <si>
    <t>Mổ lấy thai</t>
  </si>
  <si>
    <t>Sanh thường</t>
  </si>
  <si>
    <t>BÁO CÁO SỐ LIỆU NGUỒN BỆNH VIỆN THEO TỪNG PHÒNG KHÁM</t>
  </si>
  <si>
    <t>TỪ THÁNG 01 ĐẾN THÁNG 02.2026</t>
  </si>
  <si>
    <t>I. THỐNG KÊ SỐ LIỆU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</si>
  <si>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</si>
  <si>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</si>
  <si>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</si>
  <si>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</si>
  <si>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</si>
  <si>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</si>
  <si>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</si>
  <si>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09</t>
  </si>
  <si>
    <t>Tháng 10</t>
  </si>
  <si>
    <t>Tháng 11</t>
  </si>
  <si>
    <t>Tháng 12</t>
  </si>
  <si>
    <t>Tổng IUI</t>
  </si>
  <si>
    <t>Tổng OPU (Chọc hút trứng)</t>
  </si>
  <si>
    <t>Tổng FET/ET (Chuyển phôi)</t>
  </si>
  <si>
    <t>II. THỐNG KÊ SỐ LIỆU TỪNG PHÒNG KHÁM</t>
  </si>
  <si>
    <t>1. PK BS HỒ CAO CƯỜNG</t>
  </si>
  <si>
    <t>Số ca bơm IUI</t>
  </si>
  <si>
    <t>Số chu kỳ chọc noãn</t>
  </si>
  <si>
    <t>Số chu kỳ chuyển phôi</t>
  </si>
  <si>
    <t>Thủ thuật/ Phẫu thuật</t>
  </si>
  <si>
    <t>2. PK BS LÝ THÁI LỘC</t>
  </si>
  <si>
    <t>3. PK BS LÊ HUY BÌNH</t>
  </si>
  <si>
    <t>4. PK BS MINH TÂM</t>
  </si>
  <si>
    <t>2. PK BS VŨ MINH NGỌC</t>
  </si>
  <si>
    <t>5. PK BS NAM KHOA</t>
  </si>
  <si>
    <t>6. PK BS NHAN QUỐC THƯ</t>
  </si>
  <si>
    <t>BÁO CÁO SỐ LIỆU NGUỒN MKT THEO TỪNG PHÒNG KHÁM</t>
  </si>
  <si>
    <t>Số chu kỳ trữ noãn</t>
  </si>
  <si>
    <t xml:space="preserve">2026 - BÁO CÁO NGUỒN BÁC SỸ HỢP TÁC/ CTV </t>
  </si>
  <si>
    <t>I. THỐNG KÊ SỐ LIỆU TỔNG</t>
  </si>
  <si>
    <t>TT</t>
  </si>
  <si>
    <t>Số lượng/ TT &amp; PT</t>
  </si>
  <si>
    <t>Chọc noãn (OPU)</t>
  </si>
  <si>
    <t>- BSHT nguồn BV</t>
  </si>
  <si>
    <t>- BSHT nguồn KD</t>
  </si>
  <si>
    <t>Rã noãn</t>
  </si>
  <si>
    <t>Chuyển phôi</t>
  </si>
  <si>
    <t>Thủ thuật &amp; Phẫu thuật</t>
  </si>
  <si>
    <t>II. THÁNG 01 - THỐNG KÊ SỐ LIỆU BSHT/ CTV GỬI NB IVF - BỆNH VIỆN</t>
  </si>
  <si>
    <t>III. THÁNG 01 - THỐNG KÊ SỐ LIỆU BSHT/ CTV GỬI NB IVF - P.KINH DOANH</t>
  </si>
  <si>
    <t>BÁC SĨ</t>
  </si>
  <si>
    <t>OPU</t>
  </si>
  <si>
    <t>RÃ
 NOÃN</t>
  </si>
  <si>
    <t>FET</t>
  </si>
  <si>
    <t>PT/TT</t>
  </si>
  <si>
    <t>SANH
 THƯỜNG</t>
  </si>
  <si>
    <t>MỔ 
 LẤY THAI</t>
  </si>
  <si>
    <t>GHI 
 CHÚ</t>
  </si>
  <si>
    <t>BS Phạm Quang Nhật</t>
  </si>
  <si>
    <t>BS Cao Hữu Thịnh</t>
  </si>
  <si>
    <t>BS Hoàng Uyên</t>
  </si>
  <si>
    <t>BS Hồ Cao Cường</t>
  </si>
  <si>
    <t>BS Thân Trọng Thạch</t>
  </si>
  <si>
    <t>BS Trọng Hiền</t>
  </si>
  <si>
    <t>BS Khánh Linh</t>
  </si>
  <si>
    <t>BS Đức Thiện</t>
  </si>
  <si>
    <t>BS Đinh Thị Vân Khanh</t>
  </si>
  <si>
    <t>BS Trần Ngọc Như Bích</t>
  </si>
  <si>
    <t>BS Nguyễn Hồng Khánh Duy</t>
  </si>
  <si>
    <t>BS Kim Hào</t>
  </si>
  <si>
    <t>GS Võ Minh Tuấn</t>
  </si>
  <si>
    <t>BS Lê Vũ Tân</t>
  </si>
  <si>
    <t>BS Hoàng Vân</t>
  </si>
  <si>
    <t>BS Tuấn Anh</t>
  </si>
  <si>
    <t>BS Lê Phước Thạnh</t>
  </si>
  <si>
    <t>BS Nguyễn Trung Hiếu</t>
  </si>
  <si>
    <t>BS La Văn Minh Tiến</t>
  </si>
  <si>
    <t>BS Hoàng Thanh Tuấn</t>
  </si>
  <si>
    <t>BS Nguyễn Hữu Trung</t>
  </si>
  <si>
    <t>BS Quốc Hải</t>
  </si>
  <si>
    <t>BS Hồ Viết Thắng</t>
  </si>
  <si>
    <t>CTV Hoàng Nguyên</t>
  </si>
  <si>
    <t>II. THÁNG 02 - THỐNG KÊ SỐ LIỆU BSHT/ CTV GỬI NB IVF - BỆNH VIỆN</t>
  </si>
  <si>
    <t>III. THÁNG 02 - THỐNG KÊ SỐ LIỆU BSHT/ CTV GỬI NB IVF - P.KINH DOANH</t>
  </si>
  <si>
    <t>SANH 
THƯỜNG</t>
  </si>
  <si>
    <t>MỔ
LẤY THAI</t>
  </si>
  <si>
    <t>BS Bùi Thị Ngọc Trâm</t>
  </si>
  <si>
    <t>BS Lê Xuân Cẩm Tú</t>
  </si>
  <si>
    <t>BS Trương Ngọc Diễm Trinh</t>
  </si>
  <si>
    <t>BS La Gia Hiếu</t>
  </si>
  <si>
    <t>BÁO CÁO SỐ LIỆU NĂM 2025</t>
  </si>
  <si>
    <t xml:space="preserve"> </t>
  </si>
  <si>
    <t xml:space="preserve">Từ Tháng 01/2025 - Tháng 09/2025 </t>
  </si>
  <si>
    <t>I. THỐNG KÊ SỐ LIỆU BỆNH NHÂN</t>
  </si>
  <si>
    <t>Tổng số liệu Bệnh nhân</t>
  </si>
  <si>
    <t>Bệnh nhân mới</t>
  </si>
  <si>
    <t>Bệnh nhân cũ</t>
  </si>
  <si>
    <t>NGUỒN</t>
  </si>
  <si>
    <t>NGUỒN CHI TIẾT</t>
  </si>
  <si>
    <t>Số lượng</t>
  </si>
  <si>
    <t>Tỷ lệ %</t>
  </si>
  <si>
    <t>TỔNG THEO LƯỢNG KH:</t>
  </si>
  <si>
    <t>BỆNH VIỆN SÀI GÒN</t>
  </si>
  <si>
    <t>Hệ thống biển bảng, NB tự đến</t>
  </si>
  <si>
    <t>CBNV BV</t>
  </si>
  <si>
    <t>Người nhà CBNV BV</t>
  </si>
  <si>
    <t>NB cũ</t>
  </si>
  <si>
    <t>NB cũ giới thiệu</t>
  </si>
  <si>
    <t>BS cơ hữu</t>
  </si>
  <si>
    <t>Tổng:</t>
  </si>
  <si>
    <t>MKT</t>
  </si>
  <si>
    <t>BSHT</t>
  </si>
  <si>
    <t>II. THỐNG KÊ SỐ LIỆU ĐỘ TUỔI &amp; VÙNG MIỀN</t>
  </si>
  <si>
    <t>2.1 Độ tuổi theo số lượng KH</t>
  </si>
  <si>
    <t>Số tuổi theo số lượng KH</t>
  </si>
  <si>
    <t>SL</t>
  </si>
  <si>
    <t>Tỷ lệ</t>
  </si>
  <si>
    <t>Từ 0 – 10 tuổi</t>
  </si>
  <si>
    <t>Từ 11 – 20 tuổi</t>
  </si>
  <si>
    <t>Từ 21 – 30 tuổi</t>
  </si>
  <si>
    <t>Từ 31 – 40 tuổi</t>
  </si>
  <si>
    <t>Từ 41 – 50 tuổi</t>
  </si>
  <si>
    <t>Từ 51 – 60 tuổi</t>
  </si>
  <si>
    <t>Từ 61 – 70 tuổi</t>
  </si>
  <si>
    <t>TỔNG</t>
  </si>
  <si>
    <t>2.2 Vùng miền theo lượt KH</t>
  </si>
  <si>
    <t>Địa danh</t>
  </si>
  <si>
    <t>MIỀN NAM</t>
  </si>
  <si>
    <t>Hồ Chí Minh</t>
  </si>
  <si>
    <t>Bình Dương</t>
  </si>
  <si>
    <t>Bình Phước</t>
  </si>
  <si>
    <t>Đồng Nai</t>
  </si>
  <si>
    <t>Tây Ninh</t>
  </si>
  <si>
    <t>Thủ Đức</t>
  </si>
  <si>
    <t>MIỀN TÂY</t>
  </si>
  <si>
    <t>Long An</t>
  </si>
  <si>
    <t>Tiền Giang</t>
  </si>
  <si>
    <t>Kiên Giang</t>
  </si>
  <si>
    <t>An Giang</t>
  </si>
  <si>
    <t>Bạc Liêu</t>
  </si>
  <si>
    <t>Sóc Trăng</t>
  </si>
  <si>
    <t>Cần Thơ</t>
  </si>
  <si>
    <t>Cà Mau</t>
  </si>
  <si>
    <t>Vĩnh Long</t>
  </si>
  <si>
    <t>Đồng Tháp</t>
  </si>
  <si>
    <t>Bến Tre</t>
  </si>
  <si>
    <t>Hậu Giang</t>
  </si>
  <si>
    <t>Trà Vinh</t>
  </si>
  <si>
    <t>MIỀN BẮC</t>
  </si>
  <si>
    <t>Hà Nội</t>
  </si>
  <si>
    <t>Thái Bình</t>
  </si>
  <si>
    <t>Hà Tĩnh</t>
  </si>
  <si>
    <t>Yên Bái</t>
  </si>
  <si>
    <t>Hà Nam</t>
  </si>
  <si>
    <t>Nam Định</t>
  </si>
  <si>
    <t>Thanh Hóa</t>
  </si>
  <si>
    <t>Bắc Giang</t>
  </si>
  <si>
    <t>Bắc Ninh</t>
  </si>
  <si>
    <t>Hải Dương</t>
  </si>
  <si>
    <t>Vĩnh Phúc</t>
  </si>
  <si>
    <t>Phú Thọ</t>
  </si>
  <si>
    <t>Tuyên Quang</t>
  </si>
  <si>
    <t>Ninh Bình</t>
  </si>
  <si>
    <t>MIỀN TRUNG</t>
  </si>
  <si>
    <t>Bà Rịa - Vũng Tàu</t>
  </si>
  <si>
    <t>Khánh Hòa</t>
  </si>
  <si>
    <t>Bình Thuận</t>
  </si>
  <si>
    <t>Ninh Thuận</t>
  </si>
  <si>
    <t>Thừa Thiên Huế</t>
  </si>
  <si>
    <t>Bình Định</t>
  </si>
  <si>
    <t>Nghệ An</t>
  </si>
  <si>
    <t>Phú Yên</t>
  </si>
  <si>
    <t>Hưng Yên</t>
  </si>
  <si>
    <t>Quảng Ngãi</t>
  </si>
  <si>
    <t>Quảng Bình</t>
  </si>
  <si>
    <t>Quảng Trị</t>
  </si>
  <si>
    <t>Đà Nẵng</t>
  </si>
  <si>
    <t>TÂY NGUYÊN</t>
  </si>
  <si>
    <t>Đắk Nông</t>
  </si>
  <si>
    <t>Lâm Đồng</t>
  </si>
  <si>
    <t>Gia Lai</t>
  </si>
  <si>
    <t>Đắk Lắk</t>
  </si>
  <si>
    <t>Kon Tum</t>
  </si>
  <si>
    <t>NƯỚC NGOÀI</t>
  </si>
  <si>
    <t>Cambodia</t>
  </si>
  <si>
    <t>Singapore</t>
  </si>
  <si>
    <t>Pakisstan</t>
  </si>
  <si>
    <t>Ý</t>
  </si>
  <si>
    <t>Đài Loan</t>
  </si>
  <si>
    <t>Philippin</t>
  </si>
  <si>
    <t>Canada</t>
  </si>
  <si>
    <t>Anh</t>
  </si>
  <si>
    <t>USA</t>
  </si>
  <si>
    <t>Hàn Quốc</t>
  </si>
  <si>
    <t>Úc</t>
  </si>
  <si>
    <t>Camerounaise</t>
  </si>
  <si>
    <t>Trung Quốc</t>
  </si>
  <si>
    <t>Pháp</t>
  </si>
  <si>
    <t>Nga</t>
  </si>
  <si>
    <t>Na Uy</t>
  </si>
  <si>
    <t>Guinea</t>
  </si>
  <si>
    <t>TP. Hồ Chí Minh, ngày 31 tháng 05 năm 2025</t>
  </si>
  <si>
    <t>GD. VẬN HÀNH</t>
  </si>
  <si>
    <t>Người lập báo báo</t>
  </si>
  <si>
    <t>NGUYỄN HỒNG HÀ</t>
  </si>
  <si>
    <t>PHẠM THỊ NHƯ QUỲNH</t>
  </si>
  <si>
    <t>BÁO CÁO NGUỒN MKT - 2025</t>
  </si>
  <si>
    <t>Từ Tháng 01 - 31/05/2025</t>
  </si>
  <si>
    <t>I. KHÁCH HÀNG VÀO LIỆU TRÌNH</t>
  </si>
  <si>
    <t>Tổng</t>
  </si>
  <si>
    <t>Nguồn chi tiết</t>
  </si>
  <si>
    <t>BV</t>
  </si>
  <si>
    <t>SL bệnh nhân</t>
  </si>
  <si>
    <t>- KTBT IUI</t>
  </si>
  <si>
    <t>- Tổng bơm IUI</t>
  </si>
  <si>
    <t>- KTBT IVF</t>
  </si>
  <si>
    <t>- Tổng OR</t>
  </si>
  <si>
    <t>- CBNM</t>
  </si>
  <si>
    <t>- Tổng FET/ET</t>
  </si>
  <si>
    <t>- TT/PT</t>
  </si>
  <si>
    <t>- Đặt cọc gói IUI</t>
  </si>
  <si>
    <t>- Đặt cọc gói IVF</t>
  </si>
  <si>
    <t>- Huỷ cọc IUI</t>
  </si>
  <si>
    <t>- Huỷ cọc IVF</t>
  </si>
  <si>
    <r>
      <rPr>
        <u/>
        <sz val="16"/>
        <color rgb="FF1155CC"/>
        <rFont val="Times New Roman"/>
        <family val="1"/>
      </rPr>
      <t>TS.BS</t>
    </r>
    <r>
      <rPr>
        <sz val="16"/>
        <color rgb="FF000000"/>
        <rFont val="Times New Roman"/>
        <family val="1"/>
      </rPr>
      <t xml:space="preserve"> Vũ Minh Ngọc</t>
    </r>
  </si>
  <si>
    <t>SANH
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</si>
</sst>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* #,##0_);_(* \(#,##0\);_(* &quot;-&quot;??_);_(@_)"/>
    <numFmt numFmtId="169" formatCode="0.0%"/>
  </numFmts>
  <fonts count="67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Times New Roman"/>
    </font>
    <font>
      <b/>
      <sz val="20"/>
      <color rgb="FFC27BA0"/>
      <name val="Times New Roman"/>
    </font>
    <font>
      <sz val="10"/>
      <color theme="1"/>
      <name val="Arial"/>
      <scheme val="minor"/>
    </font>
    <font>
      <sz val="10"/>
      <name val="Arial"/>
    </font>
    <font>
      <sz val="11"/>
      <color theme="1"/>
      <name val="Times New Roman"/>
    </font>
    <font>
      <b/>
      <sz val="16"/>
      <color rgb="FF808080"/>
      <name val="Times New Roman"/>
    </font>
    <font>
      <b/>
      <sz val="16"/>
      <color theme="1"/>
      <name val="Times New Roman"/>
    </font>
    <font>
      <b/>
      <sz val="16"/>
      <color rgb="FF9C0006"/>
      <name val="Times New Roman"/>
    </font>
    <font>
      <sz val="16"/>
      <color theme="1"/>
      <name val="Times New Roman"/>
    </font>
    <font>
      <b/>
      <sz val="30"/>
      <color rgb="FFC27BA0"/>
      <name val="Times New Roman"/>
    </font>
    <font>
      <sz val="16"/>
      <color rgb="FF20124D"/>
      <name val="Times New Roman"/>
    </font>
    <font>
      <b/>
      <i/>
      <sz val="16"/>
      <color theme="1"/>
      <name val="Times New Roman"/>
    </font>
    <font>
      <i/>
      <sz val="16"/>
      <color theme="1"/>
      <name val="Times New Roman"/>
    </font>
    <font>
      <b/>
      <i/>
      <sz val="16"/>
      <color rgb="FF808080"/>
      <name val="Times New Roman"/>
    </font>
    <font>
      <sz val="16"/>
      <color rgb="FF808080"/>
      <name val="Times New Roman"/>
    </font>
    <font>
      <b/>
      <sz val="26"/>
      <color rgb="FF9C0006"/>
      <name val="Times New Roman"/>
    </font>
    <font>
      <b/>
      <sz val="20"/>
      <color rgb="FF9C0006"/>
      <name val="Times New Roman"/>
    </font>
    <font>
      <b/>
      <sz val="16"/>
      <color rgb="FF20124D"/>
      <name val="Times New Roman"/>
    </font>
    <font>
      <b/>
      <sz val="16"/>
      <color rgb="FFFF0000"/>
      <name val="Times New Roman"/>
    </font>
    <font>
      <b/>
      <sz val="11"/>
      <color theme="1"/>
      <name val="Calibri"/>
    </font>
    <font>
      <b/>
      <sz val="25"/>
      <color rgb="FFC27BA0"/>
      <name val="Times New Roman"/>
      <family val="1"/>
    </font>
    <font>
      <sz val="10"/>
      <color rgb="FF000000"/>
      <name val="Times New Roman"/>
      <family val="1"/>
    </font>
    <font>
      <b/>
      <sz val="20"/>
      <color rgb="FFC27BA0"/>
      <name val="Times New Roman"/>
      <family val="1"/>
    </font>
    <font>
      <b/>
      <sz val="16"/>
      <color rgb="FFFFFFFF"/>
      <name val="Times New Roman"/>
      <family val="1"/>
    </font>
    <font>
      <b/>
      <sz val="13"/>
      <color rgb="FF808080"/>
      <name val="Times New Roman"/>
      <family val="1"/>
    </font>
    <font>
      <b/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i/>
      <sz val="13"/>
      <color rgb="FF0070C0"/>
      <name val="Times New Roman"/>
      <family val="1"/>
    </font>
    <font>
      <b/>
      <sz val="30"/>
      <color rgb="FFD5A6BD"/>
      <name val="Times New Roman"/>
      <family val="1"/>
    </font>
    <font>
      <b/>
      <sz val="16"/>
      <color rgb="FF20124D"/>
      <name val="Times New Roman"/>
      <family val="1"/>
    </font>
    <font>
      <sz val="10"/>
      <color theme="1"/>
      <name val="Times New Roman"/>
      <family val="1"/>
    </font>
    <font>
      <sz val="10"/>
      <color rgb="FFD5A6BD"/>
      <name val="Times New Roman"/>
      <family val="1"/>
    </font>
    <font>
      <b/>
      <sz val="16"/>
      <color rgb="FFD5A6BD"/>
      <name val="Times New Roman"/>
      <family val="1"/>
    </font>
    <font>
      <sz val="10"/>
      <name val="Times New Roman"/>
      <family val="1"/>
    </font>
    <font>
      <b/>
      <sz val="16"/>
      <color rgb="FF000000"/>
      <name val="Times New Roman"/>
      <family val="1"/>
    </font>
    <font>
      <b/>
      <i/>
      <sz val="16"/>
      <color rgb="FF20124D"/>
      <name val="Times New Roman"/>
      <family val="1"/>
    </font>
    <font>
      <b/>
      <sz val="12"/>
      <color rgb="FFFF0000"/>
      <name val="Times New Roman"/>
      <family val="1"/>
    </font>
    <font>
      <b/>
      <i/>
      <sz val="16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20"/>
      <color rgb="FFFFFFFF"/>
      <name val="Times New Roman"/>
      <family val="1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25"/>
      <color rgb="FFD5A6BD"/>
      <name val="Times New Roman"/>
      <family val="1"/>
    </font>
    <font>
      <sz val="11"/>
      <color theme="1"/>
      <name val="Times New Roman"/>
      <family val="1"/>
    </font>
    <font>
      <b/>
      <sz val="20"/>
      <color rgb="FFD5A6BD"/>
      <name val="Times New Roman"/>
      <family val="1"/>
    </font>
    <font>
      <b/>
      <sz val="16"/>
      <color rgb="FF808080"/>
      <name val="Times New Roman"/>
      <family val="1"/>
    </font>
    <font>
      <b/>
      <sz val="13"/>
      <color rgb="FF0070C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9C0006"/>
      <name val="Times New Roman"/>
      <family val="1"/>
    </font>
    <font>
      <sz val="16"/>
      <color theme="1"/>
      <name val="Times New Roman"/>
      <family val="1"/>
    </font>
    <font>
      <b/>
      <sz val="15"/>
      <color rgb="FFFFFFFF"/>
      <name val="Times New Roman"/>
      <family val="1"/>
    </font>
    <font>
      <b/>
      <i/>
      <sz val="13"/>
      <color rgb="FF000000"/>
      <name val="Times New Roman"/>
      <family val="1"/>
    </font>
    <font>
      <b/>
      <i/>
      <sz val="16"/>
      <color rgb="FF548235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Times New Roman"/>
      <family val="1"/>
    </font>
    <font>
      <sz val="18"/>
      <color rgb="FF000000"/>
      <name val="Times New Roman"/>
      <family val="1"/>
    </font>
    <font>
      <b/>
      <sz val="18"/>
      <color rgb="FFFF0000"/>
      <name val="Times New Roman"/>
      <family val="1"/>
    </font>
    <font>
      <b/>
      <i/>
      <sz val="16"/>
      <color rgb="FF00B050"/>
      <name val="Times New Roman"/>
      <family val="1"/>
    </font>
    <font>
      <b/>
      <sz val="16"/>
      <color rgb="FF00B050"/>
      <name val="Times New Roman"/>
      <family val="1"/>
    </font>
    <font>
      <i/>
      <sz val="18"/>
      <color rgb="FF000000"/>
      <name val="Times New Roman"/>
      <family val="1"/>
    </font>
    <font>
      <b/>
      <i/>
      <sz val="16"/>
      <color rgb="FF000000"/>
      <name val="Times New Roman"/>
      <family val="1"/>
    </font>
    <font>
      <i/>
      <sz val="16"/>
      <color rgb="FF000000"/>
      <name val="Times New Roman"/>
      <family val="1"/>
    </font>
    <font>
      <u/>
      <sz val="16"/>
      <color rgb="FF000000"/>
      <name val="Times New Roman"/>
      <family val="1"/>
    </font>
    <font>
      <u/>
      <sz val="16"/>
      <color rgb="FF1155CC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9" fontId="8" fillId="9" borderId="3" xfId="0" applyNumberFormat="1" applyFont="1" applyFill="1" applyBorder="1" applyAlignment="1">
      <alignment horizontal="center" vertical="center"/>
    </xf>
    <xf numFmtId="169" fontId="10" fillId="0" borderId="1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9" fontId="15" fillId="0" borderId="3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169" fontId="10" fillId="0" borderId="12" xfId="0" applyNumberFormat="1" applyFont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/>
    </xf>
    <xf numFmtId="9" fontId="8" fillId="7" borderId="3" xfId="0" applyNumberFormat="1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169" fontId="16" fillId="8" borderId="12" xfId="0" applyNumberFormat="1" applyFont="1" applyFill="1" applyBorder="1" applyAlignment="1">
      <alignment horizontal="center" vertical="center" wrapText="1"/>
    </xf>
    <xf numFmtId="10" fontId="10" fillId="0" borderId="12" xfId="0" applyNumberFormat="1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4" fillId="8" borderId="22" xfId="0" applyFont="1" applyFill="1" applyBorder="1" applyAlignment="1">
      <alignment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19" fillId="10" borderId="22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9" fillId="10" borderId="14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19" fillId="10" borderId="23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3" fontId="19" fillId="10" borderId="16" xfId="0" applyNumberFormat="1" applyFont="1" applyFill="1" applyBorder="1" applyAlignment="1">
      <alignment horizontal="center" vertical="center"/>
    </xf>
    <xf numFmtId="3" fontId="19" fillId="10" borderId="22" xfId="0" applyNumberFormat="1" applyFont="1" applyFill="1" applyBorder="1" applyAlignment="1">
      <alignment horizontal="center" vertical="center"/>
    </xf>
    <xf numFmtId="3" fontId="19" fillId="10" borderId="6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0" fontId="12" fillId="0" borderId="14" xfId="0" applyNumberFormat="1" applyFont="1" applyBorder="1" applyAlignment="1">
      <alignment horizontal="center" vertical="center"/>
    </xf>
    <xf numFmtId="10" fontId="12" fillId="0" borderId="4" xfId="0" applyNumberFormat="1" applyFont="1" applyBorder="1" applyAlignment="1">
      <alignment horizontal="center" vertical="center"/>
    </xf>
    <xf numFmtId="10" fontId="19" fillId="10" borderId="14" xfId="0" applyNumberFormat="1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21" fillId="10" borderId="11" xfId="0" applyFont="1" applyFill="1" applyBorder="1" applyAlignment="1">
      <alignment vertical="center"/>
    </xf>
    <xf numFmtId="0" fontId="21" fillId="10" borderId="23" xfId="0" applyFont="1" applyFill="1" applyBorder="1" applyAlignment="1">
      <alignment vertical="center"/>
    </xf>
    <xf numFmtId="0" fontId="21" fillId="10" borderId="6" xfId="0" applyFont="1" applyFill="1" applyBorder="1" applyAlignment="1">
      <alignment vertical="center"/>
    </xf>
    <xf numFmtId="0" fontId="21" fillId="10" borderId="16" xfId="0" applyFont="1" applyFill="1" applyBorder="1" applyAlignment="1">
      <alignment vertical="center"/>
    </xf>
    <xf numFmtId="9" fontId="1" fillId="0" borderId="0" xfId="0" applyNumberFormat="1" applyFont="1" applyAlignment="1">
      <alignment vertical="center"/>
    </xf>
    <xf numFmtId="0" fontId="0" fillId="0" borderId="0" xfId="0"/>
    <xf numFmtId="0" fontId="5" fillId="0" borderId="3" xfId="0" applyFont="1" applyBorder="1"/>
    <xf numFmtId="0" fontId="5" fillId="0" borderId="10" xfId="0" applyFont="1" applyBorder="1"/>
    <xf numFmtId="0" fontId="5" fillId="0" borderId="5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6" xfId="0" applyFont="1" applyBorder="1"/>
    <xf numFmtId="168" fontId="13" fillId="8" borderId="2" xfId="0" applyNumberFormat="1" applyFont="1" applyFill="1" applyBorder="1" applyAlignment="1">
      <alignment horizontal="center" vertical="center"/>
    </xf>
    <xf numFmtId="168" fontId="14" fillId="0" borderId="4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5" fillId="0" borderId="11" xfId="0" applyFont="1" applyBorder="1"/>
    <xf numFmtId="0" fontId="13" fillId="0" borderId="13" xfId="0" applyFont="1" applyBorder="1" applyAlignment="1">
      <alignment horizontal="center" vertical="center" wrapText="1"/>
    </xf>
    <xf numFmtId="0" fontId="5" fillId="0" borderId="6" xfId="0" applyFont="1" applyBorder="1"/>
    <xf numFmtId="168" fontId="14" fillId="0" borderId="13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8" fillId="7" borderId="1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7" borderId="9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8" fillId="7" borderId="9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3" xfId="0" quotePrefix="1" applyFont="1" applyBorder="1" applyAlignment="1">
      <alignment vertical="center"/>
    </xf>
    <xf numFmtId="0" fontId="17" fillId="2" borderId="0" xfId="0" applyFont="1" applyFill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" fillId="7" borderId="1" xfId="0" applyFont="1" applyFill="1" applyBorder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7" fillId="2" borderId="8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9" fillId="2" borderId="7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23" fillId="0" borderId="0" xfId="0" applyFont="1"/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3" fillId="0" borderId="0" xfId="0" applyFont="1"/>
    <xf numFmtId="0" fontId="30" fillId="2" borderId="0" xfId="0" applyFont="1" applyFill="1" applyAlignment="1">
      <alignment vertical="center"/>
    </xf>
    <xf numFmtId="0" fontId="23" fillId="0" borderId="0" xfId="0" applyFont="1" applyAlignment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25" fillId="3" borderId="9" xfId="0" applyFont="1" applyFill="1" applyBorder="1" applyAlignment="1">
      <alignment horizontal="left" vertical="center"/>
    </xf>
    <xf numFmtId="0" fontId="35" fillId="0" borderId="10" xfId="0" applyFont="1" applyBorder="1"/>
    <xf numFmtId="0" fontId="25" fillId="3" borderId="11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left" vertical="center"/>
    </xf>
    <xf numFmtId="0" fontId="37" fillId="0" borderId="12" xfId="0" applyFont="1" applyBorder="1" applyAlignment="1">
      <alignment horizontal="center" vertical="center"/>
    </xf>
    <xf numFmtId="0" fontId="36" fillId="0" borderId="4" xfId="0" applyFont="1" applyBorder="1" applyAlignment="1">
      <alignment horizontal="left" vertical="center"/>
    </xf>
    <xf numFmtId="0" fontId="38" fillId="2" borderId="0" xfId="0" applyFont="1" applyFill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40" fillId="2" borderId="0" xfId="0" applyFont="1" applyFill="1" applyAlignment="1">
      <alignment vertical="center"/>
    </xf>
    <xf numFmtId="0" fontId="36" fillId="0" borderId="13" xfId="0" applyFont="1" applyBorder="1" applyAlignment="1">
      <alignment horizontal="left" vertical="center"/>
    </xf>
    <xf numFmtId="0" fontId="35" fillId="0" borderId="5" xfId="0" applyFont="1" applyBorder="1"/>
    <xf numFmtId="0" fontId="37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3" borderId="2" xfId="0" applyFont="1" applyFill="1" applyBorder="1" applyAlignment="1">
      <alignment horizontal="center" vertical="center"/>
    </xf>
    <xf numFmtId="0" fontId="35" fillId="0" borderId="3" xfId="0" applyFont="1" applyBorder="1"/>
    <xf numFmtId="0" fontId="25" fillId="3" borderId="10" xfId="0" applyFont="1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4" fillId="2" borderId="15" xfId="0" applyFont="1" applyFill="1" applyBorder="1" applyAlignment="1">
      <alignment horizontal="left" vertical="center"/>
    </xf>
    <xf numFmtId="0" fontId="36" fillId="0" borderId="14" xfId="0" applyFont="1" applyBorder="1" applyAlignment="1">
      <alignment horizontal="center" vertical="center"/>
    </xf>
    <xf numFmtId="0" fontId="44" fillId="2" borderId="12" xfId="0" applyFont="1" applyFill="1" applyBorder="1" applyAlignment="1">
      <alignment horizontal="left" vertical="center"/>
    </xf>
    <xf numFmtId="0" fontId="43" fillId="2" borderId="16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left" vertical="center"/>
    </xf>
    <xf numFmtId="0" fontId="36" fillId="0" borderId="16" xfId="0" applyFont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4" fillId="2" borderId="17" xfId="0" applyFont="1" applyFill="1" applyBorder="1" applyAlignment="1">
      <alignment horizontal="left" vertical="center"/>
    </xf>
    <xf numFmtId="0" fontId="44" fillId="2" borderId="18" xfId="0" applyFont="1" applyFill="1" applyBorder="1" applyAlignment="1">
      <alignment horizontal="left" vertical="center"/>
    </xf>
    <xf numFmtId="0" fontId="44" fillId="2" borderId="16" xfId="0" applyFont="1" applyFill="1" applyBorder="1" applyAlignment="1">
      <alignment horizontal="left" vertical="center"/>
    </xf>
    <xf numFmtId="0" fontId="36" fillId="0" borderId="6" xfId="0" applyFont="1" applyBorder="1" applyAlignment="1">
      <alignment horizontal="center" vertical="center"/>
    </xf>
    <xf numFmtId="0" fontId="44" fillId="2" borderId="19" xfId="0" applyFont="1" applyFill="1" applyBorder="1" applyAlignment="1">
      <alignment horizontal="left" vertical="center"/>
    </xf>
    <xf numFmtId="0" fontId="44" fillId="2" borderId="20" xfId="0" applyFont="1" applyFill="1" applyBorder="1" applyAlignment="1">
      <alignment horizontal="left" vertical="center"/>
    </xf>
    <xf numFmtId="0" fontId="44" fillId="2" borderId="21" xfId="0" applyFont="1" applyFill="1" applyBorder="1" applyAlignment="1">
      <alignment horizontal="left" vertical="center"/>
    </xf>
    <xf numFmtId="0" fontId="43" fillId="0" borderId="16" xfId="0" applyFont="1" applyBorder="1" applyAlignment="1">
      <alignment horizontal="center" vertical="center"/>
    </xf>
    <xf numFmtId="0" fontId="44" fillId="0" borderId="5" xfId="0" applyFont="1" applyBorder="1" applyAlignment="1">
      <alignment horizontal="left" vertical="center"/>
    </xf>
    <xf numFmtId="0" fontId="39" fillId="0" borderId="14" xfId="0" applyFont="1" applyBorder="1" applyAlignment="1">
      <alignment horizontal="center" vertical="center"/>
    </xf>
    <xf numFmtId="0" fontId="45" fillId="2" borderId="0" xfId="0" applyFont="1" applyFill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8" fillId="2" borderId="0" xfId="0" applyFont="1" applyFill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50" fillId="2" borderId="0" xfId="0" applyFont="1" applyFill="1" applyAlignment="1">
      <alignment horizontal="center" vertical="center" wrapText="1"/>
    </xf>
    <xf numFmtId="0" fontId="50" fillId="2" borderId="0" xfId="0" applyFont="1" applyFill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0" fontId="53" fillId="3" borderId="14" xfId="0" applyFont="1" applyFill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1" fillId="2" borderId="22" xfId="0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  <xf numFmtId="0" fontId="48" fillId="2" borderId="14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vertical="center"/>
    </xf>
    <xf numFmtId="0" fontId="35" fillId="0" borderId="14" xfId="0" applyFont="1" applyBorder="1"/>
    <xf numFmtId="0" fontId="54" fillId="2" borderId="12" xfId="0" applyFont="1" applyFill="1" applyBorder="1" applyAlignment="1">
      <alignment vertical="center"/>
    </xf>
    <xf numFmtId="0" fontId="54" fillId="0" borderId="12" xfId="0" applyFont="1" applyBorder="1" applyAlignment="1">
      <alignment horizontal="center" vertical="center"/>
    </xf>
    <xf numFmtId="0" fontId="35" fillId="0" borderId="18" xfId="0" applyFont="1" applyBorder="1"/>
    <xf numFmtId="0" fontId="28" fillId="2" borderId="12" xfId="0" applyFont="1" applyFill="1" applyBorder="1" applyAlignment="1">
      <alignment vertical="center"/>
    </xf>
    <xf numFmtId="0" fontId="28" fillId="2" borderId="15" xfId="0" applyFont="1" applyFill="1" applyBorder="1" applyAlignment="1">
      <alignment vertical="center"/>
    </xf>
    <xf numFmtId="0" fontId="48" fillId="2" borderId="12" xfId="0" applyFont="1" applyFill="1" applyBorder="1" applyAlignment="1">
      <alignment horizontal="center" vertical="center"/>
    </xf>
    <xf numFmtId="0" fontId="35" fillId="0" borderId="12" xfId="0" applyFont="1" applyBorder="1"/>
    <xf numFmtId="0" fontId="28" fillId="2" borderId="14" xfId="0" applyFont="1" applyFill="1" applyBorder="1" applyAlignment="1">
      <alignment vertical="center"/>
    </xf>
    <xf numFmtId="0" fontId="55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vertical="center"/>
    </xf>
    <xf numFmtId="0" fontId="28" fillId="0" borderId="12" xfId="0" applyFont="1" applyBorder="1" applyAlignment="1">
      <alignment horizontal="center" vertical="center"/>
    </xf>
    <xf numFmtId="0" fontId="35" fillId="0" borderId="16" xfId="0" applyFont="1" applyBorder="1"/>
    <xf numFmtId="0" fontId="54" fillId="2" borderId="6" xfId="0" applyFont="1" applyFill="1" applyBorder="1" applyAlignment="1">
      <alignment vertical="center"/>
    </xf>
    <xf numFmtId="0" fontId="54" fillId="0" borderId="6" xfId="0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 wrapText="1"/>
    </xf>
    <xf numFmtId="0" fontId="41" fillId="0" borderId="5" xfId="0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25" fillId="3" borderId="13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58" fillId="4" borderId="4" xfId="0" applyFont="1" applyFill="1" applyBorder="1" applyAlignment="1">
      <alignment horizontal="center" vertical="center"/>
    </xf>
    <xf numFmtId="0" fontId="59" fillId="4" borderId="5" xfId="0" applyFont="1" applyFill="1" applyBorder="1" applyAlignment="1">
      <alignment horizontal="center" vertical="center"/>
    </xf>
    <xf numFmtId="0" fontId="59" fillId="4" borderId="0" xfId="0" applyFont="1" applyFill="1" applyAlignment="1">
      <alignment horizontal="center" vertical="center"/>
    </xf>
    <xf numFmtId="0" fontId="59" fillId="4" borderId="10" xfId="0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11" xfId="0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41" fillId="0" borderId="10" xfId="0" applyFont="1" applyBorder="1" applyAlignment="1">
      <alignment horizontal="center" vertical="center"/>
    </xf>
    <xf numFmtId="0" fontId="41" fillId="6" borderId="10" xfId="0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vertical="center"/>
    </xf>
    <xf numFmtId="0" fontId="62" fillId="0" borderId="9" xfId="0" applyFont="1" applyBorder="1" applyAlignment="1">
      <alignment horizontal="center" vertical="center"/>
    </xf>
    <xf numFmtId="0" fontId="58" fillId="0" borderId="10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63" fillId="0" borderId="4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2" borderId="12" xfId="0" applyFont="1" applyFill="1" applyBorder="1" applyAlignment="1">
      <alignment vertical="center"/>
    </xf>
    <xf numFmtId="0" fontId="64" fillId="0" borderId="4" xfId="0" applyFont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1" fillId="2" borderId="0" xfId="0" applyFont="1" applyFill="1" applyAlignment="1">
      <alignment horizontal="center" vertical="center"/>
    </xf>
    <xf numFmtId="0" fontId="41" fillId="2" borderId="12" xfId="0" applyFont="1" applyFill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3" fillId="2" borderId="12" xfId="0" applyFont="1" applyFill="1" applyBorder="1" applyAlignment="1">
      <alignment vertical="center"/>
    </xf>
    <xf numFmtId="0" fontId="36" fillId="2" borderId="12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43" fillId="0" borderId="12" xfId="0" applyFont="1" applyBorder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36" fillId="2" borderId="12" xfId="0" applyFont="1" applyFill="1" applyBorder="1" applyAlignment="1">
      <alignment horizontal="left" vertical="center"/>
    </xf>
    <xf numFmtId="0" fontId="41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64" fillId="0" borderId="13" xfId="0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36" fillId="0" borderId="5" xfId="0" applyFont="1" applyBorder="1" applyAlignment="1">
      <alignment horizontal="center" vertical="center"/>
    </xf>
    <xf numFmtId="0" fontId="36" fillId="2" borderId="6" xfId="0" applyFont="1" applyFill="1" applyBorder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36" fillId="2" borderId="0" xfId="0" applyFont="1" applyFill="1" applyAlignment="1">
      <alignment horizontal="left" vertical="center"/>
    </xf>
    <xf numFmtId="0" fontId="25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%20C&#432;&#7901;ng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%20B&#236;nh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%20L&#7897;c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%20T&#226;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Cườn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Bình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Lộc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Tâ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ts.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29"/>
  <sheetViews>
    <sheetView workbookViewId="0">
      <pane ySplit="4" topLeftCell="A12" activePane="bottomLeft" state="frozen"/>
      <selection pane="bottomLeft" activeCell="F12" sqref="F12"/>
    </sheetView>
  </sheetViews>
  <sheetFormatPr defaultColWidth="12.6640625" defaultRowHeight="15.75" customHeight="1" x14ac:dyDescent="0.25"/>
  <cols>
    <col min="1" max="1" width="9.21875" style="125" customWidth="1"/>
    <col min="2" max="2" width="24.44140625" style="125" customWidth="1"/>
    <col min="3" max="3" width="14.21875" style="125" customWidth="1"/>
    <col min="4" max="4" width="15" style="125" customWidth="1"/>
    <col min="5" max="16384" width="12.6640625" style="125"/>
  </cols>
  <sheetData>
    <row r="1" spans="1:21" ht="13.2" x14ac:dyDescent="0.25">
      <c r="A1" s="123" t="s">
        <v>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</row>
    <row r="2" spans="1:21" ht="15.75" customHeight="1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</row>
    <row r="3" spans="1:21" ht="15.75" customHeight="1" x14ac:dyDescent="0.25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</row>
    <row r="4" spans="1:21" ht="24.6" x14ac:dyDescent="0.25">
      <c r="A4" s="126" t="s">
        <v>3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</row>
    <row r="5" spans="1:21" ht="25.2" customHeight="1" x14ac:dyDescent="0.25">
      <c r="A5" s="127" t="s">
        <v>4</v>
      </c>
      <c r="B5" s="124"/>
      <c r="C5" s="128" t="s">
        <v>5</v>
      </c>
      <c r="D5" s="128" t="s">
        <v>6</v>
      </c>
    </row>
    <row r="6" spans="1:21" ht="25.2" customHeight="1" x14ac:dyDescent="0.25">
      <c r="A6" s="129">
        <v>1</v>
      </c>
      <c r="B6" s="130" t="s">
        <v>7</v>
      </c>
      <c r="C6" s="131"/>
      <c r="D6" s="131"/>
    </row>
    <row r="7" spans="1:21" ht="25.2" customHeight="1" x14ac:dyDescent="0.25">
      <c r="A7" s="132">
        <v>1.1000000000000001</v>
      </c>
      <c r="B7" s="133" t="s">
        <v>8</v>
      </c>
      <c r="C7" s="134"/>
      <c r="D7" s="134"/>
      <c r="E7" s="134"/>
    </row>
    <row r="8" spans="1:21" ht="25.2" customHeight="1" x14ac:dyDescent="0.25">
      <c r="A8" s="132">
        <v>1.2</v>
      </c>
      <c r="B8" s="133" t="s">
        <v>9</v>
      </c>
      <c r="C8" s="134"/>
      <c r="D8" s="134"/>
    </row>
    <row r="9" spans="1:21" ht="25.2" customHeight="1" x14ac:dyDescent="0.25">
      <c r="A9" s="132">
        <v>1.3</v>
      </c>
      <c r="B9" s="133" t="s">
        <v>10</v>
      </c>
      <c r="C9" s="134"/>
      <c r="D9" s="134"/>
    </row>
    <row r="10" spans="1:21" ht="25.2" customHeight="1" x14ac:dyDescent="0.25">
      <c r="A10" s="132">
        <v>2</v>
      </c>
      <c r="B10" s="135" t="s">
        <v>11</v>
      </c>
      <c r="C10" s="131"/>
      <c r="D10" s="131"/>
    </row>
    <row r="11" spans="1:21" ht="25.2" customHeight="1" x14ac:dyDescent="0.25">
      <c r="A11" s="132">
        <v>2.1</v>
      </c>
      <c r="B11" s="133" t="s">
        <v>8</v>
      </c>
      <c r="C11" s="134"/>
      <c r="D11" s="134"/>
    </row>
    <row r="12" spans="1:21" ht="25.2" customHeight="1" x14ac:dyDescent="0.25">
      <c r="A12" s="132">
        <v>2.2000000000000002</v>
      </c>
      <c r="B12" s="133" t="s">
        <v>9</v>
      </c>
      <c r="C12" s="134"/>
      <c r="D12" s="134"/>
    </row>
    <row r="13" spans="1:21" ht="25.2" customHeight="1" x14ac:dyDescent="0.25">
      <c r="A13" s="132">
        <v>2.2999999999999998</v>
      </c>
      <c r="B13" s="133" t="s">
        <v>10</v>
      </c>
      <c r="C13" s="134"/>
      <c r="D13" s="134"/>
    </row>
    <row r="14" spans="1:21" ht="25.2" customHeight="1" x14ac:dyDescent="0.25">
      <c r="A14" s="132">
        <v>3</v>
      </c>
      <c r="B14" s="135" t="s">
        <v>12</v>
      </c>
      <c r="C14" s="131"/>
      <c r="D14" s="131"/>
    </row>
    <row r="15" spans="1:21" ht="25.2" customHeight="1" x14ac:dyDescent="0.25">
      <c r="A15" s="132">
        <v>3.1</v>
      </c>
      <c r="B15" s="133" t="s">
        <v>8</v>
      </c>
      <c r="C15" s="134"/>
      <c r="D15" s="134"/>
    </row>
    <row r="16" spans="1:21" ht="25.2" customHeight="1" x14ac:dyDescent="0.25">
      <c r="A16" s="132">
        <v>3.2</v>
      </c>
      <c r="B16" s="133" t="s">
        <v>9</v>
      </c>
      <c r="C16" s="134"/>
      <c r="D16" s="134"/>
    </row>
    <row r="17" spans="1:4" ht="25.2" customHeight="1" x14ac:dyDescent="0.25">
      <c r="A17" s="132">
        <v>3.3</v>
      </c>
      <c r="B17" s="133" t="s">
        <v>10</v>
      </c>
      <c r="C17" s="134"/>
      <c r="D17" s="134"/>
    </row>
    <row r="18" spans="1:4" ht="25.2" customHeight="1" x14ac:dyDescent="0.25">
      <c r="A18" s="132">
        <v>4</v>
      </c>
      <c r="B18" s="136" t="s">
        <v>13</v>
      </c>
      <c r="C18" s="131"/>
      <c r="D18" s="131"/>
    </row>
    <row r="19" spans="1:4" ht="25.2" customHeight="1" x14ac:dyDescent="0.25">
      <c r="A19" s="132">
        <v>4.0999999999999996</v>
      </c>
      <c r="B19" s="137" t="s">
        <v>8</v>
      </c>
      <c r="C19" s="134"/>
      <c r="D19" s="134"/>
    </row>
    <row r="20" spans="1:4" ht="25.2" customHeight="1" x14ac:dyDescent="0.25">
      <c r="A20" s="132">
        <v>4.2</v>
      </c>
      <c r="B20" s="133" t="s">
        <v>9</v>
      </c>
      <c r="C20" s="134"/>
      <c r="D20" s="134"/>
    </row>
    <row r="21" spans="1:4" ht="25.2" customHeight="1" x14ac:dyDescent="0.25">
      <c r="A21" s="132">
        <v>4.3</v>
      </c>
      <c r="B21" s="133" t="s">
        <v>10</v>
      </c>
      <c r="C21" s="134"/>
      <c r="D21" s="134"/>
    </row>
    <row r="22" spans="1:4" ht="25.2" customHeight="1" x14ac:dyDescent="0.25">
      <c r="A22" s="132">
        <v>5</v>
      </c>
      <c r="B22" s="136" t="s">
        <v>14</v>
      </c>
      <c r="C22" s="131"/>
      <c r="D22" s="131"/>
    </row>
    <row r="23" spans="1:4" ht="25.2" customHeight="1" x14ac:dyDescent="0.25">
      <c r="A23" s="132">
        <v>5.0999999999999996</v>
      </c>
      <c r="B23" s="137" t="s">
        <v>8</v>
      </c>
      <c r="C23" s="134"/>
      <c r="D23" s="134"/>
    </row>
    <row r="24" spans="1:4" ht="25.2" customHeight="1" x14ac:dyDescent="0.25">
      <c r="A24" s="132">
        <v>5.2</v>
      </c>
      <c r="B24" s="133" t="s">
        <v>9</v>
      </c>
      <c r="C24" s="134"/>
      <c r="D24" s="134"/>
    </row>
    <row r="25" spans="1:4" ht="25.2" customHeight="1" x14ac:dyDescent="0.25">
      <c r="A25" s="132">
        <v>5.3</v>
      </c>
      <c r="B25" s="133" t="s">
        <v>10</v>
      </c>
      <c r="C25" s="134"/>
      <c r="D25" s="134"/>
    </row>
    <row r="26" spans="1:4" ht="25.2" customHeight="1" x14ac:dyDescent="0.25">
      <c r="A26" s="132">
        <v>6</v>
      </c>
      <c r="B26" s="136" t="s">
        <v>15</v>
      </c>
      <c r="C26" s="131"/>
      <c r="D26" s="131"/>
    </row>
    <row r="27" spans="1:4" ht="25.2" customHeight="1" x14ac:dyDescent="0.25">
      <c r="A27" s="132">
        <v>6.1</v>
      </c>
      <c r="B27" s="137" t="s">
        <v>8</v>
      </c>
      <c r="C27" s="134"/>
      <c r="D27" s="134"/>
    </row>
    <row r="28" spans="1:4" ht="25.2" customHeight="1" x14ac:dyDescent="0.25">
      <c r="A28" s="132">
        <v>6.2</v>
      </c>
      <c r="B28" s="133" t="s">
        <v>9</v>
      </c>
      <c r="C28" s="134"/>
      <c r="D28" s="134"/>
    </row>
    <row r="29" spans="1:4" ht="25.2" customHeight="1" x14ac:dyDescent="0.25">
      <c r="A29" s="132">
        <v>6.3</v>
      </c>
      <c r="B29" s="133" t="s">
        <v>10</v>
      </c>
      <c r="C29" s="134"/>
      <c r="D29" s="134"/>
    </row>
  </sheetData>
  <mergeCells count="3">
    <mergeCell ref="A1:U3"/>
    <mergeCell ref="A4:U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6"/>
  <sheetViews>
    <sheetView tabSelected="1" workbookViewId="0">
      <pane ySplit="9" topLeftCell="A47" activePane="bottomLeft" state="frozen"/>
      <selection pane="bottomLeft" activeCell="B18" sqref="B18"/>
    </sheetView>
  </sheetViews>
  <sheetFormatPr defaultColWidth="12.6640625" defaultRowHeight="15.75" customHeight="1" x14ac:dyDescent="0.25"/>
  <cols>
    <col min="1" max="1" width="12.6640625" style="142"/>
    <col min="2" max="2" width="31.109375" style="142" customWidth="1"/>
    <col min="3" max="3" width="17.33203125" style="142" customWidth="1"/>
    <col min="4" max="4" width="14.21875" style="142" customWidth="1"/>
    <col min="5" max="5" width="15.33203125" style="142" customWidth="1"/>
    <col min="6" max="6" width="15" style="142" customWidth="1"/>
    <col min="7" max="7" width="14.6640625" style="142" customWidth="1"/>
    <col min="8" max="8" width="14.109375" style="142" customWidth="1"/>
    <col min="9" max="9" width="13.88671875" style="142" customWidth="1"/>
    <col min="10" max="10" width="15.88671875" style="142" customWidth="1"/>
    <col min="11" max="11" width="15" style="142" customWidth="1"/>
    <col min="12" max="12" width="15.5546875" style="142" customWidth="1"/>
    <col min="13" max="13" width="14.109375" style="142" customWidth="1"/>
    <col min="14" max="14" width="13.88671875" style="142" customWidth="1"/>
    <col min="15" max="16384" width="12.6640625" style="142"/>
  </cols>
  <sheetData>
    <row r="1" spans="1:26" ht="33" customHeight="1" x14ac:dyDescent="0.25">
      <c r="A1" s="138" t="s">
        <v>16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40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spans="1:26" ht="40.5" customHeight="1" x14ac:dyDescent="0.25">
      <c r="A2" s="143" t="s">
        <v>17</v>
      </c>
      <c r="B2" s="144"/>
      <c r="C2" s="144"/>
      <c r="D2" s="144"/>
      <c r="E2" s="144"/>
      <c r="F2" s="145"/>
      <c r="G2" s="145"/>
      <c r="H2" s="145"/>
      <c r="I2" s="145"/>
      <c r="J2" s="146"/>
      <c r="K2" s="140"/>
      <c r="L2" s="140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spans="1:26" ht="20.399999999999999" x14ac:dyDescent="0.25">
      <c r="A3" s="147" t="s">
        <v>18</v>
      </c>
      <c r="B3" s="148"/>
      <c r="C3" s="149" t="s">
        <v>1</v>
      </c>
      <c r="D3" s="149" t="s">
        <v>19</v>
      </c>
      <c r="E3" s="149" t="s">
        <v>20</v>
      </c>
      <c r="F3" s="149" t="s">
        <v>21</v>
      </c>
      <c r="G3" s="149" t="s">
        <v>22</v>
      </c>
      <c r="H3" s="149" t="s">
        <v>23</v>
      </c>
      <c r="I3" s="149" t="s">
        <v>24</v>
      </c>
      <c r="J3" s="149" t="s">
        <v>25</v>
      </c>
      <c r="K3" s="149" t="s">
        <v>26</v>
      </c>
      <c r="L3" s="149" t="s">
        <v>27</v>
      </c>
      <c r="M3" s="149" t="s">
        <v>28</v>
      </c>
      <c r="N3" s="149" t="s">
        <v>29</v>
      </c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 spans="1:26" ht="20.399999999999999" x14ac:dyDescent="0.25">
      <c r="A4" s="150" t="s">
        <v>30</v>
      </c>
      <c r="B4" s="139"/>
      <c r="C4" s="151">
        <f t="shared" ref="C4:N4" si="0">C14+C22+C28+C34+C40</f>
        <v>0</v>
      </c>
      <c r="D4" s="151">
        <f t="shared" si="0"/>
        <v>0</v>
      </c>
      <c r="E4" s="151">
        <f t="shared" si="0"/>
        <v>0</v>
      </c>
      <c r="F4" s="151">
        <f t="shared" si="0"/>
        <v>0</v>
      </c>
      <c r="G4" s="151">
        <f t="shared" si="0"/>
        <v>0</v>
      </c>
      <c r="H4" s="151">
        <f t="shared" si="0"/>
        <v>0</v>
      </c>
      <c r="I4" s="151">
        <f t="shared" si="0"/>
        <v>0</v>
      </c>
      <c r="J4" s="151">
        <f t="shared" si="0"/>
        <v>0</v>
      </c>
      <c r="K4" s="151">
        <f t="shared" si="0"/>
        <v>0</v>
      </c>
      <c r="L4" s="151">
        <f t="shared" si="0"/>
        <v>0</v>
      </c>
      <c r="M4" s="151">
        <f t="shared" si="0"/>
        <v>0</v>
      </c>
      <c r="N4" s="151">
        <f t="shared" si="0"/>
        <v>0</v>
      </c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spans="1:26" ht="20.399999999999999" x14ac:dyDescent="0.25">
      <c r="A5" s="152" t="s">
        <v>31</v>
      </c>
      <c r="B5" s="153"/>
      <c r="C5" s="154">
        <f t="shared" ref="C5:N5" si="1">C15+C23+C29+C35+C41</f>
        <v>0</v>
      </c>
      <c r="D5" s="154">
        <f t="shared" si="1"/>
        <v>0</v>
      </c>
      <c r="E5" s="154">
        <f t="shared" si="1"/>
        <v>0</v>
      </c>
      <c r="F5" s="154">
        <f t="shared" si="1"/>
        <v>0</v>
      </c>
      <c r="G5" s="154">
        <f t="shared" si="1"/>
        <v>0</v>
      </c>
      <c r="H5" s="154">
        <f t="shared" si="1"/>
        <v>0</v>
      </c>
      <c r="I5" s="154">
        <f t="shared" si="1"/>
        <v>0</v>
      </c>
      <c r="J5" s="154">
        <f t="shared" si="1"/>
        <v>0</v>
      </c>
      <c r="K5" s="154">
        <f t="shared" si="1"/>
        <v>0</v>
      </c>
      <c r="L5" s="154">
        <f t="shared" si="1"/>
        <v>0</v>
      </c>
      <c r="M5" s="154">
        <f t="shared" si="1"/>
        <v>0</v>
      </c>
      <c r="N5" s="154">
        <f t="shared" si="1"/>
        <v>0</v>
      </c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spans="1:26" ht="20.399999999999999" x14ac:dyDescent="0.25">
      <c r="A6" s="152" t="s">
        <v>32</v>
      </c>
      <c r="B6" s="155"/>
      <c r="C6" s="151">
        <f t="shared" ref="C6:N6" si="2">C16+C24+C30+C36+C42</f>
        <v>0</v>
      </c>
      <c r="D6" s="151">
        <f t="shared" si="2"/>
        <v>0</v>
      </c>
      <c r="E6" s="151">
        <f t="shared" si="2"/>
        <v>0</v>
      </c>
      <c r="F6" s="151">
        <f t="shared" si="2"/>
        <v>0</v>
      </c>
      <c r="G6" s="151">
        <f t="shared" si="2"/>
        <v>0</v>
      </c>
      <c r="H6" s="151">
        <f t="shared" si="2"/>
        <v>0</v>
      </c>
      <c r="I6" s="151">
        <f t="shared" si="2"/>
        <v>0</v>
      </c>
      <c r="J6" s="151">
        <f t="shared" si="2"/>
        <v>0</v>
      </c>
      <c r="K6" s="151">
        <f t="shared" si="2"/>
        <v>0</v>
      </c>
      <c r="L6" s="151">
        <f t="shared" si="2"/>
        <v>0</v>
      </c>
      <c r="M6" s="151">
        <f t="shared" si="2"/>
        <v>0</v>
      </c>
      <c r="N6" s="151">
        <f t="shared" si="2"/>
        <v>0</v>
      </c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spans="1:26" ht="20.399999999999999" x14ac:dyDescent="0.25">
      <c r="A7" s="150" t="s">
        <v>13</v>
      </c>
      <c r="B7" s="139"/>
      <c r="C7" s="151">
        <f t="shared" ref="C7:N7" si="3">C17+C25+C31+C37+C43+C46</f>
        <v>0</v>
      </c>
      <c r="D7" s="151">
        <f t="shared" si="3"/>
        <v>0</v>
      </c>
      <c r="E7" s="151">
        <f t="shared" si="3"/>
        <v>0</v>
      </c>
      <c r="F7" s="151">
        <f t="shared" si="3"/>
        <v>0</v>
      </c>
      <c r="G7" s="151">
        <f t="shared" si="3"/>
        <v>0</v>
      </c>
      <c r="H7" s="151">
        <f t="shared" si="3"/>
        <v>0</v>
      </c>
      <c r="I7" s="151">
        <f t="shared" si="3"/>
        <v>0</v>
      </c>
      <c r="J7" s="151">
        <f t="shared" si="3"/>
        <v>0</v>
      </c>
      <c r="K7" s="151">
        <f t="shared" si="3"/>
        <v>0</v>
      </c>
      <c r="L7" s="151">
        <f t="shared" si="3"/>
        <v>0</v>
      </c>
      <c r="M7" s="151">
        <f t="shared" si="3"/>
        <v>0</v>
      </c>
      <c r="N7" s="151">
        <f t="shared" si="3"/>
        <v>0</v>
      </c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26" ht="20.399999999999999" x14ac:dyDescent="0.25">
      <c r="A8" s="150" t="s">
        <v>15</v>
      </c>
      <c r="B8" s="139"/>
      <c r="C8" s="151">
        <f t="shared" ref="C8:N8" si="4">C18+C50</f>
        <v>0</v>
      </c>
      <c r="D8" s="151">
        <f t="shared" si="4"/>
        <v>0</v>
      </c>
      <c r="E8" s="151">
        <f t="shared" si="4"/>
        <v>0</v>
      </c>
      <c r="F8" s="151">
        <f t="shared" si="4"/>
        <v>0</v>
      </c>
      <c r="G8" s="151">
        <f t="shared" si="4"/>
        <v>0</v>
      </c>
      <c r="H8" s="151">
        <f t="shared" si="4"/>
        <v>0</v>
      </c>
      <c r="I8" s="151">
        <f t="shared" si="4"/>
        <v>0</v>
      </c>
      <c r="J8" s="151">
        <f t="shared" si="4"/>
        <v>0</v>
      </c>
      <c r="K8" s="151">
        <f t="shared" si="4"/>
        <v>0</v>
      </c>
      <c r="L8" s="151">
        <f t="shared" si="4"/>
        <v>0</v>
      </c>
      <c r="M8" s="151">
        <f t="shared" si="4"/>
        <v>0</v>
      </c>
      <c r="N8" s="151">
        <f t="shared" si="4"/>
        <v>0</v>
      </c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spans="1:26" ht="20.399999999999999" x14ac:dyDescent="0.25">
      <c r="A9" s="156" t="s">
        <v>14</v>
      </c>
      <c r="B9" s="157"/>
      <c r="C9" s="158">
        <f t="shared" ref="C9:N9" si="5">C19+C49</f>
        <v>0</v>
      </c>
      <c r="D9" s="158">
        <f t="shared" si="5"/>
        <v>0</v>
      </c>
      <c r="E9" s="158">
        <f t="shared" si="5"/>
        <v>0</v>
      </c>
      <c r="F9" s="158">
        <f t="shared" si="5"/>
        <v>0</v>
      </c>
      <c r="G9" s="158">
        <f t="shared" si="5"/>
        <v>0</v>
      </c>
      <c r="H9" s="158">
        <f t="shared" si="5"/>
        <v>0</v>
      </c>
      <c r="I9" s="158">
        <f t="shared" si="5"/>
        <v>0</v>
      </c>
      <c r="J9" s="158">
        <f t="shared" si="5"/>
        <v>0</v>
      </c>
      <c r="K9" s="158">
        <f t="shared" si="5"/>
        <v>0</v>
      </c>
      <c r="L9" s="158">
        <f t="shared" si="5"/>
        <v>0</v>
      </c>
      <c r="M9" s="158">
        <f t="shared" si="5"/>
        <v>0</v>
      </c>
      <c r="N9" s="158">
        <f t="shared" si="5"/>
        <v>0</v>
      </c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spans="1:26" ht="13.2" x14ac:dyDescent="0.25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spans="1:26" ht="13.2" x14ac:dyDescent="0.25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spans="1:26" ht="20.399999999999999" x14ac:dyDescent="0.25">
      <c r="A12" s="159" t="s">
        <v>33</v>
      </c>
      <c r="B12" s="139"/>
      <c r="C12" s="139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spans="1:26" ht="24.6" x14ac:dyDescent="0.25">
      <c r="A13" s="160" t="s">
        <v>34</v>
      </c>
      <c r="B13" s="161"/>
      <c r="C13" s="162" t="s">
        <v>1</v>
      </c>
      <c r="D13" s="149" t="s">
        <v>19</v>
      </c>
      <c r="E13" s="149" t="s">
        <v>20</v>
      </c>
      <c r="F13" s="149" t="s">
        <v>21</v>
      </c>
      <c r="G13" s="149" t="s">
        <v>22</v>
      </c>
      <c r="H13" s="149" t="s">
        <v>23</v>
      </c>
      <c r="I13" s="149" t="s">
        <v>24</v>
      </c>
      <c r="J13" s="149" t="s">
        <v>25</v>
      </c>
      <c r="K13" s="149" t="s">
        <v>26</v>
      </c>
      <c r="L13" s="149" t="s">
        <v>27</v>
      </c>
      <c r="M13" s="149" t="s">
        <v>28</v>
      </c>
      <c r="N13" s="149" t="s">
        <v>29</v>
      </c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spans="1:26" ht="21" x14ac:dyDescent="0.25">
      <c r="A14" s="163">
        <v>1</v>
      </c>
      <c r="B14" s="164" t="s">
        <v>35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spans="1:26" ht="21" x14ac:dyDescent="0.25">
      <c r="A15" s="163">
        <v>2</v>
      </c>
      <c r="B15" s="166" t="s">
        <v>36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spans="1:26" ht="21" x14ac:dyDescent="0.25">
      <c r="A16" s="163">
        <v>3</v>
      </c>
      <c r="B16" s="166" t="s">
        <v>37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spans="1:26" ht="21" x14ac:dyDescent="0.25">
      <c r="A17" s="163">
        <v>4</v>
      </c>
      <c r="B17" s="166" t="s">
        <v>38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spans="1:26" ht="21" x14ac:dyDescent="0.25">
      <c r="A18" s="163">
        <v>5</v>
      </c>
      <c r="B18" s="166" t="s">
        <v>15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spans="1:26" ht="21" x14ac:dyDescent="0.25">
      <c r="A19" s="167">
        <v>6</v>
      </c>
      <c r="B19" s="168" t="s">
        <v>14</v>
      </c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13.2" x14ac:dyDescent="0.25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24.6" x14ac:dyDescent="0.25">
      <c r="A21" s="170" t="s">
        <v>39</v>
      </c>
      <c r="B21" s="161"/>
      <c r="C21" s="162" t="s">
        <v>1</v>
      </c>
      <c r="D21" s="149" t="s">
        <v>19</v>
      </c>
      <c r="E21" s="149" t="s">
        <v>20</v>
      </c>
      <c r="F21" s="149" t="s">
        <v>21</v>
      </c>
      <c r="G21" s="149" t="s">
        <v>22</v>
      </c>
      <c r="H21" s="149" t="s">
        <v>23</v>
      </c>
      <c r="I21" s="149" t="s">
        <v>24</v>
      </c>
      <c r="J21" s="149" t="s">
        <v>25</v>
      </c>
      <c r="K21" s="149" t="s">
        <v>26</v>
      </c>
      <c r="L21" s="149" t="s">
        <v>27</v>
      </c>
      <c r="M21" s="149" t="s">
        <v>28</v>
      </c>
      <c r="N21" s="149" t="s">
        <v>29</v>
      </c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21" x14ac:dyDescent="0.25">
      <c r="A22" s="163">
        <v>1</v>
      </c>
      <c r="B22" s="171" t="s">
        <v>35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21" x14ac:dyDescent="0.25">
      <c r="A23" s="163">
        <v>2</v>
      </c>
      <c r="B23" s="172" t="s">
        <v>36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21" x14ac:dyDescent="0.25">
      <c r="A24" s="163">
        <v>3</v>
      </c>
      <c r="B24" s="172" t="s">
        <v>37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21" x14ac:dyDescent="0.25">
      <c r="A25" s="167">
        <v>4</v>
      </c>
      <c r="B25" s="173" t="s">
        <v>38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13.2" x14ac:dyDescent="0.25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24.6" x14ac:dyDescent="0.25">
      <c r="A27" s="160" t="s">
        <v>40</v>
      </c>
      <c r="B27" s="161"/>
      <c r="C27" s="162" t="s">
        <v>1</v>
      </c>
      <c r="D27" s="149" t="s">
        <v>19</v>
      </c>
      <c r="E27" s="149" t="s">
        <v>20</v>
      </c>
      <c r="F27" s="149" t="s">
        <v>21</v>
      </c>
      <c r="G27" s="149" t="s">
        <v>22</v>
      </c>
      <c r="H27" s="149" t="s">
        <v>23</v>
      </c>
      <c r="I27" s="149" t="s">
        <v>24</v>
      </c>
      <c r="J27" s="149" t="s">
        <v>25</v>
      </c>
      <c r="K27" s="149" t="s">
        <v>26</v>
      </c>
      <c r="L27" s="149" t="s">
        <v>27</v>
      </c>
      <c r="M27" s="149" t="s">
        <v>28</v>
      </c>
      <c r="N27" s="149" t="s">
        <v>29</v>
      </c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spans="1:26" ht="21" x14ac:dyDescent="0.25">
      <c r="A28" s="163">
        <v>1</v>
      </c>
      <c r="B28" s="175" t="s">
        <v>35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spans="1:26" ht="21" x14ac:dyDescent="0.25">
      <c r="A29" s="163">
        <v>2</v>
      </c>
      <c r="B29" s="176" t="s">
        <v>36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spans="1:26" ht="21" x14ac:dyDescent="0.25">
      <c r="A30" s="163">
        <v>3</v>
      </c>
      <c r="B30" s="176" t="s">
        <v>37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spans="1:26" ht="21" x14ac:dyDescent="0.25">
      <c r="A31" s="167">
        <v>4</v>
      </c>
      <c r="B31" s="168" t="s">
        <v>38</v>
      </c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spans="1:26" ht="13.2" x14ac:dyDescent="0.25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spans="1:26" ht="24.6" x14ac:dyDescent="0.25">
      <c r="A33" s="170" t="s">
        <v>41</v>
      </c>
      <c r="B33" s="161"/>
      <c r="C33" s="162" t="s">
        <v>1</v>
      </c>
      <c r="D33" s="149" t="s">
        <v>19</v>
      </c>
      <c r="E33" s="149" t="s">
        <v>20</v>
      </c>
      <c r="F33" s="149" t="s">
        <v>21</v>
      </c>
      <c r="G33" s="149" t="s">
        <v>22</v>
      </c>
      <c r="H33" s="149" t="s">
        <v>23</v>
      </c>
      <c r="I33" s="149" t="s">
        <v>24</v>
      </c>
      <c r="J33" s="149" t="s">
        <v>25</v>
      </c>
      <c r="K33" s="149" t="s">
        <v>26</v>
      </c>
      <c r="L33" s="149" t="s">
        <v>27</v>
      </c>
      <c r="M33" s="149" t="s">
        <v>28</v>
      </c>
      <c r="N33" s="149" t="s">
        <v>29</v>
      </c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spans="1:26" ht="21" x14ac:dyDescent="0.25">
      <c r="A34" s="163">
        <v>1</v>
      </c>
      <c r="B34" s="171" t="s">
        <v>35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spans="1:26" ht="21" x14ac:dyDescent="0.25">
      <c r="A35" s="163">
        <v>2</v>
      </c>
      <c r="B35" s="172" t="s">
        <v>36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spans="1:26" ht="21" x14ac:dyDescent="0.25">
      <c r="A36" s="163">
        <v>3</v>
      </c>
      <c r="B36" s="172" t="s">
        <v>37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spans="1:26" ht="21" x14ac:dyDescent="0.25">
      <c r="A37" s="167">
        <v>4</v>
      </c>
      <c r="B37" s="173" t="s">
        <v>38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spans="1:26" ht="13.2" x14ac:dyDescent="0.25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spans="1:26" ht="24.6" x14ac:dyDescent="0.25">
      <c r="A39" s="170" t="s">
        <v>42</v>
      </c>
      <c r="B39" s="161"/>
      <c r="C39" s="162" t="s">
        <v>1</v>
      </c>
      <c r="D39" s="149" t="s">
        <v>19</v>
      </c>
      <c r="E39" s="149" t="s">
        <v>20</v>
      </c>
      <c r="F39" s="149" t="s">
        <v>21</v>
      </c>
      <c r="G39" s="149" t="s">
        <v>22</v>
      </c>
      <c r="H39" s="149" t="s">
        <v>23</v>
      </c>
      <c r="I39" s="149" t="s">
        <v>24</v>
      </c>
      <c r="J39" s="149" t="s">
        <v>25</v>
      </c>
      <c r="K39" s="149" t="s">
        <v>26</v>
      </c>
      <c r="L39" s="149" t="s">
        <v>27</v>
      </c>
      <c r="M39" s="149" t="s">
        <v>28</v>
      </c>
      <c r="N39" s="149" t="s">
        <v>29</v>
      </c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spans="1:26" ht="21" x14ac:dyDescent="0.25">
      <c r="A40" s="163">
        <v>1</v>
      </c>
      <c r="B40" s="171" t="s">
        <v>35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spans="1:26" ht="21" x14ac:dyDescent="0.25">
      <c r="A41" s="163">
        <v>2</v>
      </c>
      <c r="B41" s="172" t="s">
        <v>36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spans="1:26" ht="21" x14ac:dyDescent="0.25">
      <c r="A42" s="163">
        <v>3</v>
      </c>
      <c r="B42" s="172" t="s">
        <v>37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spans="1:26" ht="21" x14ac:dyDescent="0.25">
      <c r="A43" s="167">
        <v>4</v>
      </c>
      <c r="B43" s="173" t="s">
        <v>38</v>
      </c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spans="1:26" ht="13.2" x14ac:dyDescent="0.25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spans="1:26" ht="24.6" x14ac:dyDescent="0.25">
      <c r="A45" s="170" t="s">
        <v>43</v>
      </c>
      <c r="B45" s="161"/>
      <c r="C45" s="162" t="s">
        <v>1</v>
      </c>
      <c r="D45" s="149" t="s">
        <v>19</v>
      </c>
      <c r="E45" s="149" t="s">
        <v>20</v>
      </c>
      <c r="F45" s="149" t="s">
        <v>21</v>
      </c>
      <c r="G45" s="149" t="s">
        <v>22</v>
      </c>
      <c r="H45" s="149" t="s">
        <v>23</v>
      </c>
      <c r="I45" s="149" t="s">
        <v>24</v>
      </c>
      <c r="J45" s="149" t="s">
        <v>25</v>
      </c>
      <c r="K45" s="149" t="s">
        <v>26</v>
      </c>
      <c r="L45" s="149" t="s">
        <v>27</v>
      </c>
      <c r="M45" s="149" t="s">
        <v>28</v>
      </c>
      <c r="N45" s="149" t="s">
        <v>29</v>
      </c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spans="1:26" ht="21" x14ac:dyDescent="0.25">
      <c r="A46" s="167">
        <v>1</v>
      </c>
      <c r="B46" s="177" t="s">
        <v>38</v>
      </c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spans="1:26" ht="13.2" x14ac:dyDescent="0.25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spans="1:26" ht="24.6" x14ac:dyDescent="0.25">
      <c r="A48" s="170" t="s">
        <v>44</v>
      </c>
      <c r="B48" s="161"/>
      <c r="C48" s="162" t="s">
        <v>1</v>
      </c>
      <c r="D48" s="149" t="s">
        <v>19</v>
      </c>
      <c r="E48" s="149" t="s">
        <v>20</v>
      </c>
      <c r="F48" s="149" t="s">
        <v>21</v>
      </c>
      <c r="G48" s="149" t="s">
        <v>22</v>
      </c>
      <c r="H48" s="149" t="s">
        <v>23</v>
      </c>
      <c r="I48" s="149" t="s">
        <v>24</v>
      </c>
      <c r="J48" s="149" t="s">
        <v>25</v>
      </c>
      <c r="K48" s="149" t="s">
        <v>26</v>
      </c>
      <c r="L48" s="149" t="s">
        <v>27</v>
      </c>
      <c r="M48" s="149" t="s">
        <v>28</v>
      </c>
      <c r="N48" s="149" t="s">
        <v>29</v>
      </c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spans="1:26" ht="21" x14ac:dyDescent="0.25">
      <c r="A49" s="163">
        <v>1</v>
      </c>
      <c r="B49" s="164" t="s">
        <v>14</v>
      </c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spans="1:26" ht="21" x14ac:dyDescent="0.25">
      <c r="A50" s="178">
        <v>2</v>
      </c>
      <c r="B50" s="179" t="s">
        <v>15</v>
      </c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spans="1:26" ht="13.2" x14ac:dyDescent="0.25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spans="1:26" ht="13.2" x14ac:dyDescent="0.25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spans="1:26" ht="13.2" x14ac:dyDescent="0.25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spans="1:26" ht="13.2" x14ac:dyDescent="0.25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spans="1:26" ht="13.2" x14ac:dyDescent="0.25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spans="1:26" ht="13.2" x14ac:dyDescent="0.25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spans="1:26" ht="13.2" x14ac:dyDescent="0.25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spans="1:26" ht="13.2" x14ac:dyDescent="0.25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spans="1:26" ht="13.2" x14ac:dyDescent="0.25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spans="1:26" ht="13.2" x14ac:dyDescent="0.25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spans="1:26" ht="13.2" x14ac:dyDescent="0.25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spans="1:26" ht="13.2" x14ac:dyDescent="0.25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spans="1:26" ht="13.2" x14ac:dyDescent="0.25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spans="1:26" ht="13.2" x14ac:dyDescent="0.25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spans="1:26" ht="13.2" x14ac:dyDescent="0.2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spans="1:26" ht="13.2" x14ac:dyDescent="0.25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spans="1:26" ht="13.2" x14ac:dyDescent="0.25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spans="1:26" ht="13.2" x14ac:dyDescent="0.25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spans="1:26" ht="13.2" x14ac:dyDescent="0.25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spans="1:26" ht="13.2" x14ac:dyDescent="0.25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spans="1:26" ht="13.2" x14ac:dyDescent="0.25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spans="1:26" ht="13.2" x14ac:dyDescent="0.25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spans="1:26" ht="13.2" x14ac:dyDescent="0.25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spans="1:26" ht="13.2" x14ac:dyDescent="0.25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spans="1:26" ht="13.2" x14ac:dyDescent="0.2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spans="1:26" ht="13.2" x14ac:dyDescent="0.25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spans="1:26" ht="13.2" x14ac:dyDescent="0.25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spans="1:26" ht="13.2" x14ac:dyDescent="0.25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spans="1:26" ht="13.2" x14ac:dyDescent="0.25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spans="1:26" ht="13.2" x14ac:dyDescent="0.25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spans="1:26" ht="13.2" x14ac:dyDescent="0.25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spans="1:26" ht="13.2" x14ac:dyDescent="0.25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spans="1:26" ht="13.2" x14ac:dyDescent="0.25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spans="1:26" ht="13.2" x14ac:dyDescent="0.25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spans="1:26" ht="13.2" x14ac:dyDescent="0.2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spans="1:26" ht="13.2" x14ac:dyDescent="0.25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spans="1:26" ht="13.2" x14ac:dyDescent="0.25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spans="1:26" ht="13.2" x14ac:dyDescent="0.25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spans="1:26" ht="13.2" x14ac:dyDescent="0.25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spans="1:26" ht="13.2" x14ac:dyDescent="0.25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spans="1:26" ht="13.2" x14ac:dyDescent="0.25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spans="1:26" ht="13.2" x14ac:dyDescent="0.25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spans="1:26" ht="13.2" x14ac:dyDescent="0.25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spans="1:26" ht="13.2" x14ac:dyDescent="0.25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spans="1:26" ht="13.2" x14ac:dyDescent="0.2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spans="1:26" ht="13.2" x14ac:dyDescent="0.25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spans="1:26" ht="13.2" x14ac:dyDescent="0.25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spans="1:26" ht="13.2" x14ac:dyDescent="0.25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spans="1:26" ht="13.2" x14ac:dyDescent="0.25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spans="1:26" ht="13.2" x14ac:dyDescent="0.25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spans="1:26" ht="13.2" x14ac:dyDescent="0.25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spans="1:26" ht="13.2" x14ac:dyDescent="0.25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spans="1:26" ht="13.2" x14ac:dyDescent="0.25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spans="1:26" ht="13.2" x14ac:dyDescent="0.25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spans="1:26" ht="13.2" x14ac:dyDescent="0.2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spans="1:26" ht="13.2" x14ac:dyDescent="0.25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spans="1:26" ht="13.2" x14ac:dyDescent="0.25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spans="1:26" ht="13.2" x14ac:dyDescent="0.25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spans="1:26" ht="13.2" x14ac:dyDescent="0.25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spans="1:26" ht="13.2" x14ac:dyDescent="0.25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spans="1:26" ht="13.2" x14ac:dyDescent="0.25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spans="1:26" ht="13.2" x14ac:dyDescent="0.25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spans="1:26" ht="13.2" x14ac:dyDescent="0.25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spans="1:26" ht="13.2" x14ac:dyDescent="0.25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spans="1:26" ht="13.2" x14ac:dyDescent="0.2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spans="1:26" ht="13.2" x14ac:dyDescent="0.25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spans="1:26" ht="13.2" x14ac:dyDescent="0.25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spans="1:26" ht="13.2" x14ac:dyDescent="0.25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spans="1:26" ht="13.2" x14ac:dyDescent="0.25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spans="1:26" ht="13.2" x14ac:dyDescent="0.25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spans="1:26" ht="13.2" x14ac:dyDescent="0.25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spans="1:26" ht="13.2" x14ac:dyDescent="0.25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spans="1:26" ht="13.2" x14ac:dyDescent="0.25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spans="1:26" ht="13.2" x14ac:dyDescent="0.25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spans="1:26" ht="13.2" x14ac:dyDescent="0.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spans="1:26" ht="13.2" x14ac:dyDescent="0.25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spans="1:26" ht="13.2" x14ac:dyDescent="0.25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spans="1:26" ht="13.2" x14ac:dyDescent="0.25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spans="1:26" ht="13.2" x14ac:dyDescent="0.25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spans="1:26" ht="13.2" x14ac:dyDescent="0.25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spans="1:26" ht="13.2" x14ac:dyDescent="0.25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spans="1:26" ht="13.2" x14ac:dyDescent="0.25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spans="1:26" ht="13.2" x14ac:dyDescent="0.25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spans="1:26" ht="13.2" x14ac:dyDescent="0.25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spans="1:26" ht="13.2" x14ac:dyDescent="0.2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spans="1:26" ht="13.2" x14ac:dyDescent="0.25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spans="1:26" ht="13.2" x14ac:dyDescent="0.25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spans="1:26" ht="13.2" x14ac:dyDescent="0.25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spans="1:26" ht="13.2" x14ac:dyDescent="0.25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spans="1:26" ht="13.2" x14ac:dyDescent="0.25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spans="1:26" ht="13.2" x14ac:dyDescent="0.25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spans="1:26" ht="13.2" x14ac:dyDescent="0.25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spans="1:26" ht="13.2" x14ac:dyDescent="0.25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spans="1:26" ht="13.2" x14ac:dyDescent="0.25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spans="1:26" ht="13.2" x14ac:dyDescent="0.2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spans="1:26" ht="13.2" x14ac:dyDescent="0.25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spans="1:26" ht="13.2" x14ac:dyDescent="0.25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spans="1:26" ht="13.2" x14ac:dyDescent="0.25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spans="1:26" ht="13.2" x14ac:dyDescent="0.25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spans="1:26" ht="13.2" x14ac:dyDescent="0.25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spans="1:26" ht="13.2" x14ac:dyDescent="0.25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spans="1:26" ht="13.2" x14ac:dyDescent="0.25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spans="1:26" ht="13.2" x14ac:dyDescent="0.25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spans="1:26" ht="13.2" x14ac:dyDescent="0.25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spans="1:26" ht="13.2" x14ac:dyDescent="0.2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spans="1:26" ht="13.2" x14ac:dyDescent="0.25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spans="1:26" ht="13.2" x14ac:dyDescent="0.25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spans="1:26" ht="13.2" x14ac:dyDescent="0.25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spans="1:26" ht="13.2" x14ac:dyDescent="0.25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spans="1:26" ht="13.2" x14ac:dyDescent="0.25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spans="1:26" ht="13.2" x14ac:dyDescent="0.25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spans="1:26" ht="13.2" x14ac:dyDescent="0.25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spans="1:26" ht="13.2" x14ac:dyDescent="0.25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spans="1:26" ht="13.2" x14ac:dyDescent="0.25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spans="1:26" ht="13.2" x14ac:dyDescent="0.2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spans="1:26" ht="13.2" x14ac:dyDescent="0.25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spans="1:26" ht="13.2" x14ac:dyDescent="0.25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spans="1:26" ht="13.2" x14ac:dyDescent="0.25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spans="1:26" ht="13.2" x14ac:dyDescent="0.25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spans="1:26" ht="13.2" x14ac:dyDescent="0.25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spans="1:26" ht="13.2" x14ac:dyDescent="0.25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spans="1:26" ht="13.2" x14ac:dyDescent="0.25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spans="1:26" ht="13.2" x14ac:dyDescent="0.25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spans="1:26" ht="13.2" x14ac:dyDescent="0.25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spans="1:26" ht="13.2" x14ac:dyDescent="0.2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spans="1:26" ht="13.2" x14ac:dyDescent="0.25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spans="1:26" ht="13.2" x14ac:dyDescent="0.25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spans="1:26" ht="13.2" x14ac:dyDescent="0.25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spans="1:26" ht="13.2" x14ac:dyDescent="0.25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spans="1:26" ht="13.2" x14ac:dyDescent="0.25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spans="1:26" ht="13.2" x14ac:dyDescent="0.25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spans="1:26" ht="13.2" x14ac:dyDescent="0.25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spans="1:26" ht="13.2" x14ac:dyDescent="0.25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spans="1:26" ht="13.2" x14ac:dyDescent="0.25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spans="1:26" ht="13.2" x14ac:dyDescent="0.2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spans="1:26" ht="13.2" x14ac:dyDescent="0.25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spans="1:26" ht="13.2" x14ac:dyDescent="0.25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spans="1:26" ht="13.2" x14ac:dyDescent="0.25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spans="1:26" ht="13.2" x14ac:dyDescent="0.25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spans="1:26" ht="13.2" x14ac:dyDescent="0.25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spans="1:26" ht="13.2" x14ac:dyDescent="0.25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spans="1:26" ht="13.2" x14ac:dyDescent="0.25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spans="1:26" ht="13.2" x14ac:dyDescent="0.25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spans="1:26" ht="13.2" x14ac:dyDescent="0.25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spans="1:26" ht="13.2" x14ac:dyDescent="0.2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spans="1:26" ht="13.2" x14ac:dyDescent="0.25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spans="1:26" ht="13.2" x14ac:dyDescent="0.25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spans="1:26" ht="13.2" x14ac:dyDescent="0.25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spans="1:26" ht="13.2" x14ac:dyDescent="0.25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spans="1:26" ht="13.2" x14ac:dyDescent="0.25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spans="1:26" ht="13.2" x14ac:dyDescent="0.25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spans="1:26" ht="13.2" x14ac:dyDescent="0.25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spans="1:26" ht="13.2" x14ac:dyDescent="0.25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spans="1:26" ht="13.2" x14ac:dyDescent="0.25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spans="1:26" ht="13.2" x14ac:dyDescent="0.2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spans="1:26" ht="13.2" x14ac:dyDescent="0.25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spans="1:26" ht="13.2" x14ac:dyDescent="0.25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spans="1:26" ht="13.2" x14ac:dyDescent="0.25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spans="1:26" ht="13.2" x14ac:dyDescent="0.25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spans="1:26" ht="13.2" x14ac:dyDescent="0.25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spans="1:26" ht="13.2" x14ac:dyDescent="0.25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spans="1:26" ht="13.2" x14ac:dyDescent="0.25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spans="1:26" ht="13.2" x14ac:dyDescent="0.25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spans="1:26" ht="13.2" x14ac:dyDescent="0.25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spans="1:26" ht="13.2" x14ac:dyDescent="0.2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spans="1:26" ht="13.2" x14ac:dyDescent="0.25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spans="1:26" ht="13.2" x14ac:dyDescent="0.25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spans="1:26" ht="13.2" x14ac:dyDescent="0.25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spans="1:26" ht="13.2" x14ac:dyDescent="0.25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spans="1:26" ht="13.2" x14ac:dyDescent="0.25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spans="1:26" ht="13.2" x14ac:dyDescent="0.25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spans="1:26" ht="13.2" x14ac:dyDescent="0.25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spans="1:26" ht="13.2" x14ac:dyDescent="0.25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spans="1:26" ht="13.2" x14ac:dyDescent="0.25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spans="1:26" ht="13.2" x14ac:dyDescent="0.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spans="1:26" ht="13.2" x14ac:dyDescent="0.25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spans="1:26" ht="13.2" x14ac:dyDescent="0.25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spans="1:26" ht="13.2" x14ac:dyDescent="0.25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spans="1:26" ht="13.2" x14ac:dyDescent="0.25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spans="1:26" ht="13.2" x14ac:dyDescent="0.25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spans="1:26" ht="13.2" x14ac:dyDescent="0.25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spans="1:26" ht="13.2" x14ac:dyDescent="0.25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spans="1:26" ht="13.2" x14ac:dyDescent="0.25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spans="1:26" ht="13.2" x14ac:dyDescent="0.25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spans="1:26" ht="13.2" x14ac:dyDescent="0.2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spans="1:26" ht="13.2" x14ac:dyDescent="0.25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spans="1:26" ht="13.2" x14ac:dyDescent="0.25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spans="1:26" ht="13.2" x14ac:dyDescent="0.25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spans="1:26" ht="13.2" x14ac:dyDescent="0.25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spans="1:26" ht="13.2" x14ac:dyDescent="0.25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spans="1:26" ht="13.2" x14ac:dyDescent="0.25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spans="1:26" ht="13.2" x14ac:dyDescent="0.25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spans="1:26" ht="13.2" x14ac:dyDescent="0.25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spans="1:26" ht="13.2" x14ac:dyDescent="0.25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spans="1:26" ht="13.2" x14ac:dyDescent="0.2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spans="1:26" ht="13.2" x14ac:dyDescent="0.25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spans="1:26" ht="13.2" x14ac:dyDescent="0.25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spans="1:26" ht="13.2" x14ac:dyDescent="0.25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spans="1:26" ht="13.2" x14ac:dyDescent="0.25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spans="1:26" ht="13.2" x14ac:dyDescent="0.25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spans="1:26" ht="13.2" x14ac:dyDescent="0.25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spans="1:26" ht="13.2" x14ac:dyDescent="0.25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spans="1:26" ht="13.2" x14ac:dyDescent="0.25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spans="1:26" ht="13.2" x14ac:dyDescent="0.25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spans="1:26" ht="13.2" x14ac:dyDescent="0.2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spans="1:26" ht="13.2" x14ac:dyDescent="0.25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spans="1:26" ht="13.2" x14ac:dyDescent="0.25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spans="1:26" ht="13.2" x14ac:dyDescent="0.25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spans="1:26" ht="13.2" x14ac:dyDescent="0.25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spans="1:26" ht="13.2" x14ac:dyDescent="0.25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spans="1:26" ht="13.2" x14ac:dyDescent="0.25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spans="1:26" ht="13.2" x14ac:dyDescent="0.25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spans="1:26" ht="13.2" x14ac:dyDescent="0.25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spans="1:26" ht="13.2" x14ac:dyDescent="0.25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spans="1:26" ht="13.2" x14ac:dyDescent="0.2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spans="1:26" ht="13.2" x14ac:dyDescent="0.25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spans="1:26" ht="13.2" x14ac:dyDescent="0.25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spans="1:26" ht="13.2" x14ac:dyDescent="0.25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spans="1:26" ht="13.2" x14ac:dyDescent="0.25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spans="1:26" ht="13.2" x14ac:dyDescent="0.25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spans="1:26" ht="13.2" x14ac:dyDescent="0.25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spans="1:26" ht="13.2" x14ac:dyDescent="0.25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spans="1:26" ht="13.2" x14ac:dyDescent="0.25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spans="1:26" ht="13.2" x14ac:dyDescent="0.25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spans="1:26" ht="13.2" x14ac:dyDescent="0.2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spans="1:26" ht="13.2" x14ac:dyDescent="0.25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spans="1:26" ht="13.2" x14ac:dyDescent="0.25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spans="1:26" ht="13.2" x14ac:dyDescent="0.25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spans="1:26" ht="13.2" x14ac:dyDescent="0.25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spans="1:26" ht="13.2" x14ac:dyDescent="0.25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spans="1:26" ht="13.2" x14ac:dyDescent="0.25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spans="1:26" ht="13.2" x14ac:dyDescent="0.25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spans="1:26" ht="13.2" x14ac:dyDescent="0.25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spans="1:26" ht="13.2" x14ac:dyDescent="0.25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spans="1:26" ht="13.2" x14ac:dyDescent="0.2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spans="1:26" ht="13.2" x14ac:dyDescent="0.25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spans="1:26" ht="13.2" x14ac:dyDescent="0.25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spans="1:26" ht="13.2" x14ac:dyDescent="0.25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spans="1:26" ht="13.2" x14ac:dyDescent="0.25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spans="1:26" ht="13.2" x14ac:dyDescent="0.25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spans="1:26" ht="13.2" x14ac:dyDescent="0.25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spans="1:26" ht="13.2" x14ac:dyDescent="0.25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spans="1:26" ht="13.2" x14ac:dyDescent="0.25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spans="1:26" ht="13.2" x14ac:dyDescent="0.25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spans="1:26" ht="13.2" x14ac:dyDescent="0.2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spans="1:26" ht="13.2" x14ac:dyDescent="0.25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spans="1:26" ht="13.2" x14ac:dyDescent="0.25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spans="1:26" ht="13.2" x14ac:dyDescent="0.25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spans="1:26" ht="13.2" x14ac:dyDescent="0.25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spans="1:26" ht="13.2" x14ac:dyDescent="0.25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spans="1:26" ht="13.2" x14ac:dyDescent="0.25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spans="1:26" ht="13.2" x14ac:dyDescent="0.25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spans="1:26" ht="13.2" x14ac:dyDescent="0.25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spans="1:26" ht="13.2" x14ac:dyDescent="0.25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spans="1:26" ht="13.2" x14ac:dyDescent="0.2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spans="1:26" ht="13.2" x14ac:dyDescent="0.25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spans="1:26" ht="13.2" x14ac:dyDescent="0.25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spans="1:26" ht="13.2" x14ac:dyDescent="0.25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spans="1:26" ht="13.2" x14ac:dyDescent="0.25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spans="1:26" ht="13.2" x14ac:dyDescent="0.25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spans="1:26" ht="13.2" x14ac:dyDescent="0.25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spans="1:26" ht="13.2" x14ac:dyDescent="0.25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spans="1:26" ht="13.2" x14ac:dyDescent="0.25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spans="1:26" ht="13.2" x14ac:dyDescent="0.25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spans="1:26" ht="13.2" x14ac:dyDescent="0.2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spans="1:26" ht="13.2" x14ac:dyDescent="0.25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spans="1:26" ht="13.2" x14ac:dyDescent="0.25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spans="1:26" ht="13.2" x14ac:dyDescent="0.25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spans="1:26" ht="13.2" x14ac:dyDescent="0.25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spans="1:26" ht="13.2" x14ac:dyDescent="0.25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spans="1:26" ht="13.2" x14ac:dyDescent="0.25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spans="1:26" ht="13.2" x14ac:dyDescent="0.25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spans="1:26" ht="13.2" x14ac:dyDescent="0.25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spans="1:26" ht="13.2" x14ac:dyDescent="0.25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spans="1:26" ht="13.2" x14ac:dyDescent="0.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spans="1:26" ht="13.2" x14ac:dyDescent="0.25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spans="1:26" ht="13.2" x14ac:dyDescent="0.25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spans="1:26" ht="13.2" x14ac:dyDescent="0.25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spans="1:26" ht="13.2" x14ac:dyDescent="0.25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spans="1:26" ht="13.2" x14ac:dyDescent="0.25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spans="1:26" ht="13.2" x14ac:dyDescent="0.25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spans="1:26" ht="13.2" x14ac:dyDescent="0.25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spans="1:26" ht="13.2" x14ac:dyDescent="0.25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spans="1:26" ht="13.2" x14ac:dyDescent="0.25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spans="1:26" ht="13.2" x14ac:dyDescent="0.2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spans="1:26" ht="13.2" x14ac:dyDescent="0.25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spans="1:26" ht="13.2" x14ac:dyDescent="0.25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spans="1:26" ht="13.2" x14ac:dyDescent="0.25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spans="1:26" ht="13.2" x14ac:dyDescent="0.25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spans="1:26" ht="13.2" x14ac:dyDescent="0.25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spans="1:26" ht="13.2" x14ac:dyDescent="0.25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spans="1:26" ht="13.2" x14ac:dyDescent="0.25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spans="1:26" ht="13.2" x14ac:dyDescent="0.25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spans="1:26" ht="13.2" x14ac:dyDescent="0.25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spans="1:26" ht="13.2" x14ac:dyDescent="0.2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spans="1:26" ht="13.2" x14ac:dyDescent="0.25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spans="1:26" ht="13.2" x14ac:dyDescent="0.25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spans="1:26" ht="13.2" x14ac:dyDescent="0.25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spans="1:26" ht="13.2" x14ac:dyDescent="0.25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spans="1:26" ht="13.2" x14ac:dyDescent="0.25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spans="1:26" ht="13.2" x14ac:dyDescent="0.25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spans="1:26" ht="13.2" x14ac:dyDescent="0.25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spans="1:26" ht="13.2" x14ac:dyDescent="0.25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spans="1:26" ht="13.2" x14ac:dyDescent="0.25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spans="1:26" ht="13.2" x14ac:dyDescent="0.2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spans="1:26" ht="13.2" x14ac:dyDescent="0.25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spans="1:26" ht="13.2" x14ac:dyDescent="0.25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spans="1:26" ht="13.2" x14ac:dyDescent="0.25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spans="1:26" ht="13.2" x14ac:dyDescent="0.25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spans="1:26" ht="13.2" x14ac:dyDescent="0.25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spans="1:26" ht="13.2" x14ac:dyDescent="0.25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spans="1:26" ht="13.2" x14ac:dyDescent="0.25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spans="1:26" ht="13.2" x14ac:dyDescent="0.25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spans="1:26" ht="13.2" x14ac:dyDescent="0.25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spans="1:26" ht="13.2" x14ac:dyDescent="0.2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spans="1:26" ht="13.2" x14ac:dyDescent="0.25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spans="1:26" ht="13.2" x14ac:dyDescent="0.25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spans="1:26" ht="13.2" x14ac:dyDescent="0.25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spans="1:26" ht="13.2" x14ac:dyDescent="0.25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spans="1:26" ht="13.2" x14ac:dyDescent="0.25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spans="1:26" ht="13.2" x14ac:dyDescent="0.25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spans="1:26" ht="13.2" x14ac:dyDescent="0.25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spans="1:26" ht="13.2" x14ac:dyDescent="0.25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spans="1:26" ht="13.2" x14ac:dyDescent="0.25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spans="1:26" ht="13.2" x14ac:dyDescent="0.2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spans="1:26" ht="13.2" x14ac:dyDescent="0.25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spans="1:26" ht="13.2" x14ac:dyDescent="0.25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spans="1:26" ht="13.2" x14ac:dyDescent="0.25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spans="1:26" ht="13.2" x14ac:dyDescent="0.25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spans="1:26" ht="13.2" x14ac:dyDescent="0.25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spans="1:26" ht="13.2" x14ac:dyDescent="0.25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spans="1:26" ht="13.2" x14ac:dyDescent="0.25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spans="1:26" ht="13.2" x14ac:dyDescent="0.25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spans="1:26" ht="13.2" x14ac:dyDescent="0.25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spans="1:26" ht="13.2" x14ac:dyDescent="0.2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spans="1:26" ht="13.2" x14ac:dyDescent="0.25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spans="1:26" ht="13.2" x14ac:dyDescent="0.25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spans="1:26" ht="13.2" x14ac:dyDescent="0.25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spans="1:26" ht="13.2" x14ac:dyDescent="0.25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spans="1:26" ht="13.2" x14ac:dyDescent="0.25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spans="1:26" ht="13.2" x14ac:dyDescent="0.25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spans="1:26" ht="13.2" x14ac:dyDescent="0.25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spans="1:26" ht="13.2" x14ac:dyDescent="0.25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spans="1:26" ht="13.2" x14ac:dyDescent="0.25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spans="1:26" ht="13.2" x14ac:dyDescent="0.2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spans="1:26" ht="13.2" x14ac:dyDescent="0.25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spans="1:26" ht="13.2" x14ac:dyDescent="0.25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spans="1:26" ht="13.2" x14ac:dyDescent="0.25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spans="1:26" ht="13.2" x14ac:dyDescent="0.25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spans="1:26" ht="13.2" x14ac:dyDescent="0.25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spans="1:26" ht="13.2" x14ac:dyDescent="0.25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spans="1:26" ht="13.2" x14ac:dyDescent="0.25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spans="1:26" ht="13.2" x14ac:dyDescent="0.25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spans="1:26" ht="13.2" x14ac:dyDescent="0.25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spans="1:26" ht="13.2" x14ac:dyDescent="0.2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spans="1:26" ht="13.2" x14ac:dyDescent="0.25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spans="1:26" ht="13.2" x14ac:dyDescent="0.25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spans="1:26" ht="13.2" x14ac:dyDescent="0.25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spans="1:26" ht="13.2" x14ac:dyDescent="0.25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spans="1:26" ht="13.2" x14ac:dyDescent="0.25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spans="1:26" ht="13.2" x14ac:dyDescent="0.25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spans="1:26" ht="13.2" x14ac:dyDescent="0.25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spans="1:26" ht="13.2" x14ac:dyDescent="0.25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spans="1:26" ht="13.2" x14ac:dyDescent="0.25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spans="1:26" ht="13.2" x14ac:dyDescent="0.2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spans="1:26" ht="13.2" x14ac:dyDescent="0.25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spans="1:26" ht="13.2" x14ac:dyDescent="0.25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spans="1:26" ht="13.2" x14ac:dyDescent="0.25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spans="1:26" ht="13.2" x14ac:dyDescent="0.25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spans="1:26" ht="13.2" x14ac:dyDescent="0.25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spans="1:26" ht="13.2" x14ac:dyDescent="0.25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spans="1:26" ht="13.2" x14ac:dyDescent="0.25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spans="1:26" ht="13.2" x14ac:dyDescent="0.25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spans="1:26" ht="13.2" x14ac:dyDescent="0.25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spans="1:26" ht="13.2" x14ac:dyDescent="0.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spans="1:26" ht="13.2" x14ac:dyDescent="0.25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spans="1:26" ht="13.2" x14ac:dyDescent="0.25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spans="1:26" ht="13.2" x14ac:dyDescent="0.25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spans="1:26" ht="13.2" x14ac:dyDescent="0.25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spans="1:26" ht="13.2" x14ac:dyDescent="0.25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spans="1:26" ht="13.2" x14ac:dyDescent="0.25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spans="1:26" ht="13.2" x14ac:dyDescent="0.25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spans="1:26" ht="13.2" x14ac:dyDescent="0.25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spans="1:26" ht="13.2" x14ac:dyDescent="0.25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spans="1:26" ht="13.2" x14ac:dyDescent="0.2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spans="1:26" ht="13.2" x14ac:dyDescent="0.25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spans="1:26" ht="13.2" x14ac:dyDescent="0.25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spans="1:26" ht="13.2" x14ac:dyDescent="0.25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spans="1:26" ht="13.2" x14ac:dyDescent="0.25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spans="1:26" ht="13.2" x14ac:dyDescent="0.25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spans="1:26" ht="13.2" x14ac:dyDescent="0.25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spans="1:26" ht="13.2" x14ac:dyDescent="0.25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spans="1:26" ht="13.2" x14ac:dyDescent="0.25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spans="1:26" ht="13.2" x14ac:dyDescent="0.25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spans="1:26" ht="13.2" x14ac:dyDescent="0.2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spans="1:26" ht="13.2" x14ac:dyDescent="0.25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spans="1:26" ht="13.2" x14ac:dyDescent="0.25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spans="1:26" ht="13.2" x14ac:dyDescent="0.25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spans="1:26" ht="13.2" x14ac:dyDescent="0.25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spans="1:26" ht="13.2" x14ac:dyDescent="0.25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spans="1:26" ht="13.2" x14ac:dyDescent="0.25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spans="1:26" ht="13.2" x14ac:dyDescent="0.25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spans="1:26" ht="13.2" x14ac:dyDescent="0.25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spans="1:26" ht="13.2" x14ac:dyDescent="0.25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spans="1:26" ht="13.2" x14ac:dyDescent="0.2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spans="1:26" ht="13.2" x14ac:dyDescent="0.25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spans="1:26" ht="13.2" x14ac:dyDescent="0.25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spans="1:26" ht="13.2" x14ac:dyDescent="0.25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spans="1:26" ht="13.2" x14ac:dyDescent="0.25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spans="1:26" ht="13.2" x14ac:dyDescent="0.25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spans="1:26" ht="13.2" x14ac:dyDescent="0.25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spans="1:26" ht="13.2" x14ac:dyDescent="0.25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spans="1:26" ht="13.2" x14ac:dyDescent="0.25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spans="1:26" ht="13.2" x14ac:dyDescent="0.25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spans="1:26" ht="13.2" x14ac:dyDescent="0.2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spans="1:26" ht="13.2" x14ac:dyDescent="0.25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spans="1:26" ht="13.2" x14ac:dyDescent="0.25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spans="1:26" ht="13.2" x14ac:dyDescent="0.25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spans="1:26" ht="13.2" x14ac:dyDescent="0.25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spans="1:26" ht="13.2" x14ac:dyDescent="0.25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spans="1:26" ht="13.2" x14ac:dyDescent="0.25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spans="1:26" ht="13.2" x14ac:dyDescent="0.25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spans="1:26" ht="13.2" x14ac:dyDescent="0.25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spans="1:26" ht="13.2" x14ac:dyDescent="0.25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spans="1:26" ht="13.2" x14ac:dyDescent="0.2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spans="1:26" ht="13.2" x14ac:dyDescent="0.25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spans="1:26" ht="13.2" x14ac:dyDescent="0.25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spans="1:26" ht="13.2" x14ac:dyDescent="0.25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spans="1:26" ht="13.2" x14ac:dyDescent="0.25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spans="1:26" ht="13.2" x14ac:dyDescent="0.25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spans="1:26" ht="13.2" x14ac:dyDescent="0.25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spans="1:26" ht="13.2" x14ac:dyDescent="0.25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spans="1:26" ht="13.2" x14ac:dyDescent="0.25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spans="1:26" ht="13.2" x14ac:dyDescent="0.25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spans="1:26" ht="13.2" x14ac:dyDescent="0.2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spans="1:26" ht="13.2" x14ac:dyDescent="0.25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spans="1:26" ht="13.2" x14ac:dyDescent="0.25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spans="1:26" ht="13.2" x14ac:dyDescent="0.25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spans="1:26" ht="13.2" x14ac:dyDescent="0.25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spans="1:26" ht="13.2" x14ac:dyDescent="0.25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spans="1:26" ht="13.2" x14ac:dyDescent="0.25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spans="1:26" ht="13.2" x14ac:dyDescent="0.25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spans="1:26" ht="13.2" x14ac:dyDescent="0.25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spans="1:26" ht="13.2" x14ac:dyDescent="0.25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spans="1:26" ht="13.2" x14ac:dyDescent="0.2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spans="1:26" ht="13.2" x14ac:dyDescent="0.25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spans="1:26" ht="13.2" x14ac:dyDescent="0.25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spans="1:26" ht="13.2" x14ac:dyDescent="0.25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spans="1:26" ht="13.2" x14ac:dyDescent="0.25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spans="1:26" ht="13.2" x14ac:dyDescent="0.25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spans="1:26" ht="13.2" x14ac:dyDescent="0.25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spans="1:26" ht="13.2" x14ac:dyDescent="0.25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spans="1:26" ht="13.2" x14ac:dyDescent="0.25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spans="1:26" ht="13.2" x14ac:dyDescent="0.25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spans="1:26" ht="13.2" x14ac:dyDescent="0.2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spans="1:26" ht="13.2" x14ac:dyDescent="0.25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spans="1:26" ht="13.2" x14ac:dyDescent="0.25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spans="1:26" ht="13.2" x14ac:dyDescent="0.25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spans="1:26" ht="13.2" x14ac:dyDescent="0.25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spans="1:26" ht="13.2" x14ac:dyDescent="0.25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spans="1:26" ht="13.2" x14ac:dyDescent="0.25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spans="1:26" ht="13.2" x14ac:dyDescent="0.25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spans="1:26" ht="13.2" x14ac:dyDescent="0.25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spans="1:26" ht="13.2" x14ac:dyDescent="0.25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spans="1:26" ht="13.2" x14ac:dyDescent="0.2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spans="1:26" ht="13.2" x14ac:dyDescent="0.25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spans="1:26" ht="13.2" x14ac:dyDescent="0.25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spans="1:26" ht="13.2" x14ac:dyDescent="0.25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spans="1:26" ht="13.2" x14ac:dyDescent="0.25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spans="1:26" ht="13.2" x14ac:dyDescent="0.25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spans="1:26" ht="13.2" x14ac:dyDescent="0.25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spans="1:26" ht="13.2" x14ac:dyDescent="0.25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spans="1:26" ht="13.2" x14ac:dyDescent="0.25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spans="1:26" ht="13.2" x14ac:dyDescent="0.25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spans="1:26" ht="13.2" x14ac:dyDescent="0.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spans="1:26" ht="13.2" x14ac:dyDescent="0.25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spans="1:26" ht="13.2" x14ac:dyDescent="0.25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spans="1:26" ht="13.2" x14ac:dyDescent="0.25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spans="1:26" ht="13.2" x14ac:dyDescent="0.25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spans="1:26" ht="13.2" x14ac:dyDescent="0.25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spans="1:26" ht="13.2" x14ac:dyDescent="0.25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spans="1:26" ht="13.2" x14ac:dyDescent="0.25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spans="1:26" ht="13.2" x14ac:dyDescent="0.25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spans="1:26" ht="13.2" x14ac:dyDescent="0.25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spans="1:26" ht="13.2" x14ac:dyDescent="0.2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spans="1:26" ht="13.2" x14ac:dyDescent="0.25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spans="1:26" ht="13.2" x14ac:dyDescent="0.25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spans="1:26" ht="13.2" x14ac:dyDescent="0.25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spans="1:26" ht="13.2" x14ac:dyDescent="0.25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spans="1:26" ht="13.2" x14ac:dyDescent="0.25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spans="1:26" ht="13.2" x14ac:dyDescent="0.25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spans="1:26" ht="13.2" x14ac:dyDescent="0.25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spans="1:26" ht="13.2" x14ac:dyDescent="0.25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spans="1:26" ht="13.2" x14ac:dyDescent="0.25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spans="1:26" ht="13.2" x14ac:dyDescent="0.2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spans="1:26" ht="13.2" x14ac:dyDescent="0.25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spans="1:26" ht="13.2" x14ac:dyDescent="0.25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spans="1:26" ht="13.2" x14ac:dyDescent="0.25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spans="1:26" ht="13.2" x14ac:dyDescent="0.25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spans="1:26" ht="13.2" x14ac:dyDescent="0.25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spans="1:26" ht="13.2" x14ac:dyDescent="0.25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spans="1:26" ht="13.2" x14ac:dyDescent="0.25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spans="1:26" ht="13.2" x14ac:dyDescent="0.25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spans="1:26" ht="13.2" x14ac:dyDescent="0.25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spans="1:26" ht="13.2" x14ac:dyDescent="0.2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spans="1:26" ht="13.2" x14ac:dyDescent="0.25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spans="1:26" ht="13.2" x14ac:dyDescent="0.25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spans="1:26" ht="13.2" x14ac:dyDescent="0.25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spans="1:26" ht="13.2" x14ac:dyDescent="0.25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spans="1:26" ht="13.2" x14ac:dyDescent="0.25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spans="1:26" ht="13.2" x14ac:dyDescent="0.25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spans="1:26" ht="13.2" x14ac:dyDescent="0.25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spans="1:26" ht="13.2" x14ac:dyDescent="0.25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spans="1:26" ht="13.2" x14ac:dyDescent="0.25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spans="1:26" ht="13.2" x14ac:dyDescent="0.2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spans="1:26" ht="13.2" x14ac:dyDescent="0.25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spans="1:26" ht="13.2" x14ac:dyDescent="0.25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spans="1:26" ht="13.2" x14ac:dyDescent="0.25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spans="1:26" ht="13.2" x14ac:dyDescent="0.25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spans="1:26" ht="13.2" x14ac:dyDescent="0.25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spans="1:26" ht="13.2" x14ac:dyDescent="0.25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spans="1:26" ht="13.2" x14ac:dyDescent="0.25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spans="1:26" ht="13.2" x14ac:dyDescent="0.25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spans="1:26" ht="13.2" x14ac:dyDescent="0.25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spans="1:26" ht="13.2" x14ac:dyDescent="0.2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spans="1:26" ht="13.2" x14ac:dyDescent="0.25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spans="1:26" ht="13.2" x14ac:dyDescent="0.25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spans="1:26" ht="13.2" x14ac:dyDescent="0.25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spans="1:26" ht="13.2" x14ac:dyDescent="0.25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spans="1:26" ht="13.2" x14ac:dyDescent="0.25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spans="1:26" ht="13.2" x14ac:dyDescent="0.25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spans="1:26" ht="13.2" x14ac:dyDescent="0.25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spans="1:26" ht="13.2" x14ac:dyDescent="0.25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spans="1:26" ht="13.2" x14ac:dyDescent="0.25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spans="1:26" ht="13.2" x14ac:dyDescent="0.2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spans="1:26" ht="13.2" x14ac:dyDescent="0.25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spans="1:26" ht="13.2" x14ac:dyDescent="0.25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spans="1:26" ht="13.2" x14ac:dyDescent="0.25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spans="1:26" ht="13.2" x14ac:dyDescent="0.25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spans="1:26" ht="13.2" x14ac:dyDescent="0.25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spans="1:26" ht="13.2" x14ac:dyDescent="0.25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spans="1:26" ht="13.2" x14ac:dyDescent="0.25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spans="1:26" ht="13.2" x14ac:dyDescent="0.25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spans="1:26" ht="13.2" x14ac:dyDescent="0.25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spans="1:26" ht="13.2" x14ac:dyDescent="0.2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spans="1:26" ht="13.2" x14ac:dyDescent="0.25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spans="1:26" ht="13.2" x14ac:dyDescent="0.25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spans="1:26" ht="13.2" x14ac:dyDescent="0.25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spans="1:26" ht="13.2" x14ac:dyDescent="0.25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spans="1:26" ht="13.2" x14ac:dyDescent="0.25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spans="1:26" ht="13.2" x14ac:dyDescent="0.25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spans="1:26" ht="13.2" x14ac:dyDescent="0.25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spans="1:26" ht="13.2" x14ac:dyDescent="0.25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spans="1:26" ht="13.2" x14ac:dyDescent="0.25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spans="1:26" ht="13.2" x14ac:dyDescent="0.2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spans="1:26" ht="13.2" x14ac:dyDescent="0.25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spans="1:26" ht="13.2" x14ac:dyDescent="0.25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spans="1:26" ht="13.2" x14ac:dyDescent="0.25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spans="1:26" ht="13.2" x14ac:dyDescent="0.25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spans="1:26" ht="13.2" x14ac:dyDescent="0.25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spans="1:26" ht="13.2" x14ac:dyDescent="0.25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spans="1:26" ht="13.2" x14ac:dyDescent="0.25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spans="1:26" ht="13.2" x14ac:dyDescent="0.25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spans="1:26" ht="13.2" x14ac:dyDescent="0.25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spans="1:26" ht="13.2" x14ac:dyDescent="0.2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spans="1:26" ht="13.2" x14ac:dyDescent="0.25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spans="1:26" ht="13.2" x14ac:dyDescent="0.25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spans="1:26" ht="13.2" x14ac:dyDescent="0.25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spans="1:26" ht="13.2" x14ac:dyDescent="0.25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spans="1:26" ht="13.2" x14ac:dyDescent="0.25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spans="1:26" ht="13.2" x14ac:dyDescent="0.25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spans="1:26" ht="13.2" x14ac:dyDescent="0.25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spans="1:26" ht="13.2" x14ac:dyDescent="0.25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spans="1:26" ht="13.2" x14ac:dyDescent="0.25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spans="1:26" ht="13.2" x14ac:dyDescent="0.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spans="1:26" ht="13.2" x14ac:dyDescent="0.25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spans="1:26" ht="13.2" x14ac:dyDescent="0.25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spans="1:26" ht="13.2" x14ac:dyDescent="0.25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spans="1:26" ht="13.2" x14ac:dyDescent="0.25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spans="1:26" ht="13.2" x14ac:dyDescent="0.25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spans="1:26" ht="13.2" x14ac:dyDescent="0.25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spans="1:26" ht="13.2" x14ac:dyDescent="0.25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spans="1:26" ht="13.2" x14ac:dyDescent="0.25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spans="1:26" ht="13.2" x14ac:dyDescent="0.25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spans="1:26" ht="13.2" x14ac:dyDescent="0.2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spans="1:26" ht="13.2" x14ac:dyDescent="0.25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spans="1:26" ht="13.2" x14ac:dyDescent="0.25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spans="1:26" ht="13.2" x14ac:dyDescent="0.25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spans="1:26" ht="13.2" x14ac:dyDescent="0.25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spans="1:26" ht="13.2" x14ac:dyDescent="0.25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spans="1:26" ht="13.2" x14ac:dyDescent="0.25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spans="1:26" ht="13.2" x14ac:dyDescent="0.25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spans="1:26" ht="13.2" x14ac:dyDescent="0.25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spans="1:26" ht="13.2" x14ac:dyDescent="0.25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spans="1:26" ht="13.2" x14ac:dyDescent="0.2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spans="1:26" ht="13.2" x14ac:dyDescent="0.25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spans="1:26" ht="13.2" x14ac:dyDescent="0.25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spans="1:26" ht="13.2" x14ac:dyDescent="0.25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spans="1:26" ht="13.2" x14ac:dyDescent="0.25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spans="1:26" ht="13.2" x14ac:dyDescent="0.25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spans="1:26" ht="13.2" x14ac:dyDescent="0.25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spans="1:26" ht="13.2" x14ac:dyDescent="0.25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spans="1:26" ht="13.2" x14ac:dyDescent="0.25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spans="1:26" ht="13.2" x14ac:dyDescent="0.25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spans="1:26" ht="13.2" x14ac:dyDescent="0.2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spans="1:26" ht="13.2" x14ac:dyDescent="0.25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spans="1:26" ht="13.2" x14ac:dyDescent="0.25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spans="1:26" ht="13.2" x14ac:dyDescent="0.25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spans="1:26" ht="13.2" x14ac:dyDescent="0.25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spans="1:26" ht="13.2" x14ac:dyDescent="0.25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spans="1:26" ht="13.2" x14ac:dyDescent="0.25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spans="1:26" ht="13.2" x14ac:dyDescent="0.25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spans="1:26" ht="13.2" x14ac:dyDescent="0.25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spans="1:26" ht="13.2" x14ac:dyDescent="0.25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spans="1:26" ht="13.2" x14ac:dyDescent="0.2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spans="1:26" ht="13.2" x14ac:dyDescent="0.25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spans="1:26" ht="13.2" x14ac:dyDescent="0.25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spans="1:26" ht="13.2" x14ac:dyDescent="0.25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spans="1:26" ht="13.2" x14ac:dyDescent="0.25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spans="1:26" ht="13.2" x14ac:dyDescent="0.25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spans="1:26" ht="13.2" x14ac:dyDescent="0.25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spans="1:26" ht="13.2" x14ac:dyDescent="0.25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spans="1:26" ht="13.2" x14ac:dyDescent="0.25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spans="1:26" ht="13.2" x14ac:dyDescent="0.25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spans="1:26" ht="13.2" x14ac:dyDescent="0.2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spans="1:26" ht="13.2" x14ac:dyDescent="0.25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spans="1:26" ht="13.2" x14ac:dyDescent="0.25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spans="1:26" ht="13.2" x14ac:dyDescent="0.25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spans="1:26" ht="13.2" x14ac:dyDescent="0.25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spans="1:26" ht="13.2" x14ac:dyDescent="0.25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spans="1:26" ht="13.2" x14ac:dyDescent="0.25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spans="1:26" ht="13.2" x14ac:dyDescent="0.25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spans="1:26" ht="13.2" x14ac:dyDescent="0.25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spans="1:26" ht="13.2" x14ac:dyDescent="0.25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spans="1:26" ht="13.2" x14ac:dyDescent="0.2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spans="1:26" ht="13.2" x14ac:dyDescent="0.25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spans="1:26" ht="13.2" x14ac:dyDescent="0.25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spans="1:26" ht="13.2" x14ac:dyDescent="0.25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spans="1:26" ht="13.2" x14ac:dyDescent="0.25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spans="1:26" ht="13.2" x14ac:dyDescent="0.25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spans="1:26" ht="13.2" x14ac:dyDescent="0.25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spans="1:26" ht="13.2" x14ac:dyDescent="0.25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spans="1:26" ht="13.2" x14ac:dyDescent="0.25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spans="1:26" ht="13.2" x14ac:dyDescent="0.25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spans="1:26" ht="13.2" x14ac:dyDescent="0.2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spans="1:26" ht="13.2" x14ac:dyDescent="0.25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spans="1:26" ht="13.2" x14ac:dyDescent="0.25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spans="1:26" ht="13.2" x14ac:dyDescent="0.25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spans="1:26" ht="13.2" x14ac:dyDescent="0.25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spans="1:26" ht="13.2" x14ac:dyDescent="0.25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spans="1:26" ht="13.2" x14ac:dyDescent="0.25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spans="1:26" ht="13.2" x14ac:dyDescent="0.25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spans="1:26" ht="13.2" x14ac:dyDescent="0.25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spans="1:26" ht="13.2" x14ac:dyDescent="0.25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spans="1:26" ht="13.2" x14ac:dyDescent="0.2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spans="1:26" ht="13.2" x14ac:dyDescent="0.25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spans="1:26" ht="13.2" x14ac:dyDescent="0.25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spans="1:26" ht="13.2" x14ac:dyDescent="0.25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spans="1:26" ht="13.2" x14ac:dyDescent="0.25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spans="1:26" ht="13.2" x14ac:dyDescent="0.25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spans="1:26" ht="13.2" x14ac:dyDescent="0.25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spans="1:26" ht="13.2" x14ac:dyDescent="0.25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spans="1:26" ht="13.2" x14ac:dyDescent="0.25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spans="1:26" ht="13.2" x14ac:dyDescent="0.25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spans="1:26" ht="13.2" x14ac:dyDescent="0.2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spans="1:26" ht="13.2" x14ac:dyDescent="0.25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spans="1:26" ht="13.2" x14ac:dyDescent="0.25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spans="1:26" ht="13.2" x14ac:dyDescent="0.25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spans="1:26" ht="13.2" x14ac:dyDescent="0.25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spans="1:26" ht="13.2" x14ac:dyDescent="0.25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spans="1:26" ht="13.2" x14ac:dyDescent="0.25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spans="1:26" ht="13.2" x14ac:dyDescent="0.25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spans="1:26" ht="13.2" x14ac:dyDescent="0.25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spans="1:26" ht="13.2" x14ac:dyDescent="0.25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spans="1:26" ht="13.2" x14ac:dyDescent="0.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spans="1:26" ht="13.2" x14ac:dyDescent="0.25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spans="1:26" ht="13.2" x14ac:dyDescent="0.25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spans="1:26" ht="13.2" x14ac:dyDescent="0.25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spans="1:26" ht="13.2" x14ac:dyDescent="0.25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spans="1:26" ht="13.2" x14ac:dyDescent="0.25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spans="1:26" ht="13.2" x14ac:dyDescent="0.25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spans="1:26" ht="13.2" x14ac:dyDescent="0.25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spans="1:26" ht="13.2" x14ac:dyDescent="0.25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spans="1:26" ht="13.2" x14ac:dyDescent="0.25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spans="1:26" ht="13.2" x14ac:dyDescent="0.2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spans="1:26" ht="13.2" x14ac:dyDescent="0.25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spans="1:26" ht="13.2" x14ac:dyDescent="0.25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spans="1:26" ht="13.2" x14ac:dyDescent="0.25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spans="1:26" ht="13.2" x14ac:dyDescent="0.25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spans="1:26" ht="13.2" x14ac:dyDescent="0.25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spans="1:26" ht="13.2" x14ac:dyDescent="0.25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spans="1:26" ht="13.2" x14ac:dyDescent="0.25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spans="1:26" ht="13.2" x14ac:dyDescent="0.25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spans="1:26" ht="13.2" x14ac:dyDescent="0.25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spans="1:26" ht="13.2" x14ac:dyDescent="0.2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spans="1:26" ht="13.2" x14ac:dyDescent="0.25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spans="1:26" ht="13.2" x14ac:dyDescent="0.25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spans="1:26" ht="13.2" x14ac:dyDescent="0.25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spans="1:26" ht="13.2" x14ac:dyDescent="0.25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spans="1:26" ht="13.2" x14ac:dyDescent="0.25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spans="1:26" ht="13.2" x14ac:dyDescent="0.25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spans="1:26" ht="13.2" x14ac:dyDescent="0.25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spans="1:26" ht="13.2" x14ac:dyDescent="0.25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spans="1:26" ht="13.2" x14ac:dyDescent="0.25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spans="1:26" ht="13.2" x14ac:dyDescent="0.2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spans="1:26" ht="13.2" x14ac:dyDescent="0.25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spans="1:26" ht="13.2" x14ac:dyDescent="0.25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spans="1:26" ht="13.2" x14ac:dyDescent="0.25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spans="1:26" ht="13.2" x14ac:dyDescent="0.25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spans="1:26" ht="13.2" x14ac:dyDescent="0.25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spans="1:26" ht="13.2" x14ac:dyDescent="0.25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spans="1:26" ht="13.2" x14ac:dyDescent="0.25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spans="1:26" ht="13.2" x14ac:dyDescent="0.25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spans="1:26" ht="13.2" x14ac:dyDescent="0.25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spans="1:26" ht="13.2" x14ac:dyDescent="0.2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spans="1:26" ht="13.2" x14ac:dyDescent="0.25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spans="1:26" ht="13.2" x14ac:dyDescent="0.25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spans="1:26" ht="13.2" x14ac:dyDescent="0.25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spans="1:26" ht="13.2" x14ac:dyDescent="0.25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spans="1:26" ht="13.2" x14ac:dyDescent="0.25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spans="1:26" ht="13.2" x14ac:dyDescent="0.25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spans="1:26" ht="13.2" x14ac:dyDescent="0.25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spans="1:26" ht="13.2" x14ac:dyDescent="0.25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spans="1:26" ht="13.2" x14ac:dyDescent="0.25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spans="1:26" ht="13.2" x14ac:dyDescent="0.2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spans="1:26" ht="13.2" x14ac:dyDescent="0.25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spans="1:26" ht="13.2" x14ac:dyDescent="0.25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spans="1:26" ht="13.2" x14ac:dyDescent="0.25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spans="1:26" ht="13.2" x14ac:dyDescent="0.25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spans="1:26" ht="13.2" x14ac:dyDescent="0.25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spans="1:26" ht="13.2" x14ac:dyDescent="0.25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spans="1:26" ht="13.2" x14ac:dyDescent="0.25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spans="1:26" ht="13.2" x14ac:dyDescent="0.25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spans="1:26" ht="13.2" x14ac:dyDescent="0.25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spans="1:26" ht="13.2" x14ac:dyDescent="0.2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spans="1:26" ht="13.2" x14ac:dyDescent="0.25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spans="1:26" ht="13.2" x14ac:dyDescent="0.25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spans="1:26" ht="13.2" x14ac:dyDescent="0.25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spans="1:26" ht="13.2" x14ac:dyDescent="0.25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spans="1:26" ht="13.2" x14ac:dyDescent="0.25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spans="1:26" ht="13.2" x14ac:dyDescent="0.25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spans="1:26" ht="13.2" x14ac:dyDescent="0.25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spans="1:26" ht="13.2" x14ac:dyDescent="0.25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spans="1:26" ht="13.2" x14ac:dyDescent="0.25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spans="1:26" ht="13.2" x14ac:dyDescent="0.2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spans="1:26" ht="13.2" x14ac:dyDescent="0.25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spans="1:26" ht="13.2" x14ac:dyDescent="0.25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spans="1:26" ht="13.2" x14ac:dyDescent="0.25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spans="1:26" ht="13.2" x14ac:dyDescent="0.25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spans="1:26" ht="13.2" x14ac:dyDescent="0.25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spans="1:26" ht="13.2" x14ac:dyDescent="0.25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spans="1:26" ht="13.2" x14ac:dyDescent="0.25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spans="1:26" ht="13.2" x14ac:dyDescent="0.25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spans="1:26" ht="13.2" x14ac:dyDescent="0.25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spans="1:26" ht="13.2" x14ac:dyDescent="0.2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spans="1:26" ht="13.2" x14ac:dyDescent="0.25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spans="1:26" ht="13.2" x14ac:dyDescent="0.25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spans="1:26" ht="13.2" x14ac:dyDescent="0.25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spans="1:26" ht="13.2" x14ac:dyDescent="0.25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spans="1:26" ht="13.2" x14ac:dyDescent="0.25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spans="1:26" ht="13.2" x14ac:dyDescent="0.25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spans="1:26" ht="13.2" x14ac:dyDescent="0.25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spans="1:26" ht="13.2" x14ac:dyDescent="0.25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spans="1:26" ht="13.2" x14ac:dyDescent="0.25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spans="1:26" ht="13.2" x14ac:dyDescent="0.2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spans="1:26" ht="13.2" x14ac:dyDescent="0.25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spans="1:26" ht="13.2" x14ac:dyDescent="0.25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spans="1:26" ht="13.2" x14ac:dyDescent="0.25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spans="1:26" ht="13.2" x14ac:dyDescent="0.25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spans="1:26" ht="13.2" x14ac:dyDescent="0.25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spans="1:26" ht="13.2" x14ac:dyDescent="0.25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spans="1:26" ht="13.2" x14ac:dyDescent="0.25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spans="1:26" ht="13.2" x14ac:dyDescent="0.25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spans="1:26" ht="13.2" x14ac:dyDescent="0.25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spans="1:26" ht="13.2" x14ac:dyDescent="0.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spans="1:26" ht="13.2" x14ac:dyDescent="0.25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spans="1:26" ht="13.2" x14ac:dyDescent="0.25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spans="1:26" ht="13.2" x14ac:dyDescent="0.25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spans="1:26" ht="13.2" x14ac:dyDescent="0.25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spans="1:26" ht="13.2" x14ac:dyDescent="0.25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spans="1:26" ht="13.2" x14ac:dyDescent="0.25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spans="1:26" ht="13.2" x14ac:dyDescent="0.25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spans="1:26" ht="13.2" x14ac:dyDescent="0.25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spans="1:26" ht="13.2" x14ac:dyDescent="0.25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spans="1:26" ht="13.2" x14ac:dyDescent="0.2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spans="1:26" ht="13.2" x14ac:dyDescent="0.25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spans="1:26" ht="13.2" x14ac:dyDescent="0.25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spans="1:26" ht="13.2" x14ac:dyDescent="0.25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spans="1:26" ht="13.2" x14ac:dyDescent="0.25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spans="1:26" ht="13.2" x14ac:dyDescent="0.25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spans="1:26" ht="13.2" x14ac:dyDescent="0.25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spans="1:26" ht="13.2" x14ac:dyDescent="0.25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spans="1:26" ht="13.2" x14ac:dyDescent="0.25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spans="1:26" ht="13.2" x14ac:dyDescent="0.25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spans="1:26" ht="13.2" x14ac:dyDescent="0.2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spans="1:26" ht="13.2" x14ac:dyDescent="0.25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spans="1:26" ht="13.2" x14ac:dyDescent="0.25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spans="1:26" ht="13.2" x14ac:dyDescent="0.25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spans="1:26" ht="13.2" x14ac:dyDescent="0.25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spans="1:26" ht="13.2" x14ac:dyDescent="0.25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spans="1:26" ht="13.2" x14ac:dyDescent="0.25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spans="1:26" ht="13.2" x14ac:dyDescent="0.25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spans="1:26" ht="13.2" x14ac:dyDescent="0.25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spans="1:26" ht="13.2" x14ac:dyDescent="0.25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spans="1:26" ht="13.2" x14ac:dyDescent="0.2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spans="1:26" ht="13.2" x14ac:dyDescent="0.25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spans="1:26" ht="13.2" x14ac:dyDescent="0.25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spans="1:26" ht="13.2" x14ac:dyDescent="0.25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spans="1:26" ht="13.2" x14ac:dyDescent="0.25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spans="1:26" ht="13.2" x14ac:dyDescent="0.25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spans="1:26" ht="13.2" x14ac:dyDescent="0.25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spans="1:26" ht="13.2" x14ac:dyDescent="0.25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spans="1:26" ht="13.2" x14ac:dyDescent="0.25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spans="1:26" ht="13.2" x14ac:dyDescent="0.25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spans="1:26" ht="13.2" x14ac:dyDescent="0.2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spans="1:26" ht="13.2" x14ac:dyDescent="0.25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spans="1:26" ht="13.2" x14ac:dyDescent="0.25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spans="1:26" ht="13.2" x14ac:dyDescent="0.25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spans="1:26" ht="13.2" x14ac:dyDescent="0.25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spans="1:26" ht="13.2" x14ac:dyDescent="0.25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spans="1:26" ht="13.2" x14ac:dyDescent="0.25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spans="1:26" ht="13.2" x14ac:dyDescent="0.25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spans="1:26" ht="13.2" x14ac:dyDescent="0.25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spans="1:26" ht="13.2" x14ac:dyDescent="0.25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spans="1:26" ht="13.2" x14ac:dyDescent="0.2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spans="1:26" ht="13.2" x14ac:dyDescent="0.25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spans="1:26" ht="13.2" x14ac:dyDescent="0.25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spans="1:26" ht="13.2" x14ac:dyDescent="0.25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spans="1:26" ht="13.2" x14ac:dyDescent="0.25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spans="1:26" ht="13.2" x14ac:dyDescent="0.25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spans="1:26" ht="13.2" x14ac:dyDescent="0.25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spans="1:26" ht="13.2" x14ac:dyDescent="0.25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spans="1:26" ht="13.2" x14ac:dyDescent="0.25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spans="1:26" ht="13.2" x14ac:dyDescent="0.25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spans="1:26" ht="13.2" x14ac:dyDescent="0.2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spans="1:26" ht="13.2" x14ac:dyDescent="0.25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spans="1:26" ht="13.2" x14ac:dyDescent="0.25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spans="1:26" ht="13.2" x14ac:dyDescent="0.25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spans="1:26" ht="13.2" x14ac:dyDescent="0.25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spans="1:26" ht="13.2" x14ac:dyDescent="0.25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spans="1:26" ht="13.2" x14ac:dyDescent="0.25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spans="1:26" ht="13.2" x14ac:dyDescent="0.25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spans="1:26" ht="13.2" x14ac:dyDescent="0.25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spans="1:26" ht="13.2" x14ac:dyDescent="0.25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spans="1:26" ht="13.2" x14ac:dyDescent="0.2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spans="1:26" ht="13.2" x14ac:dyDescent="0.25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spans="1:26" ht="13.2" x14ac:dyDescent="0.25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spans="1:26" ht="13.2" x14ac:dyDescent="0.25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spans="1:26" ht="13.2" x14ac:dyDescent="0.25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spans="1:26" ht="13.2" x14ac:dyDescent="0.25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spans="1:26" ht="13.2" x14ac:dyDescent="0.25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spans="1:26" ht="13.2" x14ac:dyDescent="0.25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spans="1:26" ht="13.2" x14ac:dyDescent="0.25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spans="1:26" ht="13.2" x14ac:dyDescent="0.25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spans="1:26" ht="13.2" x14ac:dyDescent="0.2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spans="1:26" ht="13.2" x14ac:dyDescent="0.25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spans="1:26" ht="13.2" x14ac:dyDescent="0.25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spans="1:26" ht="13.2" x14ac:dyDescent="0.25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spans="1:26" ht="13.2" x14ac:dyDescent="0.25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spans="1:26" ht="13.2" x14ac:dyDescent="0.25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spans="1:26" ht="13.2" x14ac:dyDescent="0.25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spans="1:26" ht="13.2" x14ac:dyDescent="0.25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spans="1:26" ht="13.2" x14ac:dyDescent="0.25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spans="1:26" ht="13.2" x14ac:dyDescent="0.25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spans="1:26" ht="13.2" x14ac:dyDescent="0.2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spans="1:26" ht="13.2" x14ac:dyDescent="0.25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spans="1:26" ht="13.2" x14ac:dyDescent="0.25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spans="1:26" ht="13.2" x14ac:dyDescent="0.25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spans="1:26" ht="13.2" x14ac:dyDescent="0.25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spans="1:26" ht="13.2" x14ac:dyDescent="0.25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spans="1:26" ht="13.2" x14ac:dyDescent="0.25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spans="1:26" ht="13.2" x14ac:dyDescent="0.25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spans="1:26" ht="13.2" x14ac:dyDescent="0.25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spans="1:26" ht="13.2" x14ac:dyDescent="0.25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spans="1:26" ht="13.2" x14ac:dyDescent="0.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spans="1:26" ht="13.2" x14ac:dyDescent="0.25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spans="1:26" ht="13.2" x14ac:dyDescent="0.25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spans="1:26" ht="13.2" x14ac:dyDescent="0.25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spans="1:26" ht="13.2" x14ac:dyDescent="0.25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spans="1:26" ht="13.2" x14ac:dyDescent="0.25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spans="1:26" ht="13.2" x14ac:dyDescent="0.25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spans="1:26" ht="13.2" x14ac:dyDescent="0.25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spans="1:26" ht="13.2" x14ac:dyDescent="0.25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spans="1:26" ht="13.2" x14ac:dyDescent="0.25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spans="1:26" ht="13.2" x14ac:dyDescent="0.2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spans="1:26" ht="13.2" x14ac:dyDescent="0.25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spans="1:26" ht="13.2" x14ac:dyDescent="0.25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spans="1:26" ht="13.2" x14ac:dyDescent="0.25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spans="1:26" ht="13.2" x14ac:dyDescent="0.25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spans="1:26" ht="13.2" x14ac:dyDescent="0.25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spans="1:26" ht="13.2" x14ac:dyDescent="0.25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spans="1:26" ht="13.2" x14ac:dyDescent="0.25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spans="1:26" ht="13.2" x14ac:dyDescent="0.25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spans="1:26" ht="13.2" x14ac:dyDescent="0.25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spans="1:26" ht="13.2" x14ac:dyDescent="0.2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spans="1:26" ht="13.2" x14ac:dyDescent="0.25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spans="1:26" ht="13.2" x14ac:dyDescent="0.25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spans="1:26" ht="13.2" x14ac:dyDescent="0.25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spans="1:26" ht="13.2" x14ac:dyDescent="0.25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spans="1:26" ht="13.2" x14ac:dyDescent="0.25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spans="1:26" ht="13.2" x14ac:dyDescent="0.25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spans="1:26" ht="13.2" x14ac:dyDescent="0.25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spans="1:26" ht="13.2" x14ac:dyDescent="0.25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spans="1:26" ht="13.2" x14ac:dyDescent="0.25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spans="1:26" ht="13.2" x14ac:dyDescent="0.2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spans="1:26" ht="13.2" x14ac:dyDescent="0.25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spans="1:26" ht="13.2" x14ac:dyDescent="0.25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spans="1:26" ht="13.2" x14ac:dyDescent="0.25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spans="1:26" ht="13.2" x14ac:dyDescent="0.25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spans="1:26" ht="13.2" x14ac:dyDescent="0.25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spans="1:26" ht="13.2" x14ac:dyDescent="0.25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spans="1:26" ht="13.2" x14ac:dyDescent="0.25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spans="1:26" ht="13.2" x14ac:dyDescent="0.25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spans="1:26" ht="13.2" x14ac:dyDescent="0.25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spans="1:26" ht="13.2" x14ac:dyDescent="0.2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spans="1:26" ht="13.2" x14ac:dyDescent="0.25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spans="1:26" ht="13.2" x14ac:dyDescent="0.25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spans="1:26" ht="13.2" x14ac:dyDescent="0.25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spans="1:26" ht="13.2" x14ac:dyDescent="0.25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spans="1:26" ht="13.2" x14ac:dyDescent="0.25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spans="1:26" ht="13.2" x14ac:dyDescent="0.25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spans="1:26" ht="13.2" x14ac:dyDescent="0.25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spans="1:26" ht="13.2" x14ac:dyDescent="0.25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spans="1:26" ht="13.2" x14ac:dyDescent="0.25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spans="1:26" ht="13.2" x14ac:dyDescent="0.2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spans="1:26" ht="13.2" x14ac:dyDescent="0.25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spans="1:26" ht="13.2" x14ac:dyDescent="0.25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spans="1:26" ht="13.2" x14ac:dyDescent="0.25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spans="1:26" ht="13.2" x14ac:dyDescent="0.25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spans="1:26" ht="13.2" x14ac:dyDescent="0.25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spans="1:26" ht="13.2" x14ac:dyDescent="0.25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spans="1:26" ht="13.2" x14ac:dyDescent="0.25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spans="1:26" ht="13.2" x14ac:dyDescent="0.25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spans="1:26" ht="13.2" x14ac:dyDescent="0.25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spans="1:26" ht="13.2" x14ac:dyDescent="0.2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spans="1:26" ht="13.2" x14ac:dyDescent="0.25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spans="1:26" ht="13.2" x14ac:dyDescent="0.25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spans="1:26" ht="13.2" x14ac:dyDescent="0.25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spans="1:26" ht="13.2" x14ac:dyDescent="0.25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spans="1:26" ht="13.2" x14ac:dyDescent="0.25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spans="1:26" ht="13.2" x14ac:dyDescent="0.25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spans="1:26" ht="13.2" x14ac:dyDescent="0.25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spans="1:26" ht="13.2" x14ac:dyDescent="0.25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spans="1:26" ht="13.2" x14ac:dyDescent="0.25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spans="1:26" ht="13.2" x14ac:dyDescent="0.2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spans="1:26" ht="13.2" x14ac:dyDescent="0.25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</sheetData>
  <mergeCells count="14">
    <mergeCell ref="A39:B39"/>
    <mergeCell ref="A45:B45"/>
    <mergeCell ref="A48:B48"/>
    <mergeCell ref="A1:K1"/>
    <mergeCell ref="A3:B3"/>
    <mergeCell ref="A4:B4"/>
    <mergeCell ref="A7:B7"/>
    <mergeCell ref="A8:B8"/>
    <mergeCell ref="A9:B9"/>
    <mergeCell ref="A12:C12"/>
    <mergeCell ref="A13:B13"/>
    <mergeCell ref="A21:B21"/>
    <mergeCell ref="A27:B27"/>
    <mergeCell ref="A33: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>
      <pane ySplit="9" topLeftCell="A54" activePane="bottomLeft" state="frozen"/>
      <selection pane="bottomLeft" activeCell="F13" sqref="F13"/>
    </sheetView>
  </sheetViews>
  <sheetFormatPr defaultColWidth="12.6640625" defaultRowHeight="15.75" customHeight="1" x14ac:dyDescent="0.25"/>
  <cols>
    <col min="1" max="1" width="12.6640625" style="142"/>
    <col min="2" max="2" width="33.109375" style="142" customWidth="1"/>
    <col min="3" max="3" width="17.33203125" style="142" customWidth="1"/>
    <col min="4" max="4" width="14.21875" style="142" customWidth="1"/>
    <col min="5" max="6" width="12.6640625" style="142"/>
    <col min="7" max="7" width="16.21875" style="142" customWidth="1"/>
    <col min="8" max="8" width="14.109375" style="142" customWidth="1"/>
    <col min="9" max="16384" width="12.6640625" style="142"/>
  </cols>
  <sheetData>
    <row r="1" spans="1:26" ht="33" customHeight="1" x14ac:dyDescent="0.25">
      <c r="A1" s="143" t="s">
        <v>45</v>
      </c>
      <c r="B1" s="144"/>
      <c r="C1" s="144"/>
      <c r="D1" s="144"/>
      <c r="E1" s="144"/>
      <c r="F1" s="144"/>
      <c r="G1" s="144"/>
      <c r="H1" s="144"/>
      <c r="I1" s="144"/>
      <c r="J1" s="144"/>
      <c r="K1" s="140"/>
      <c r="L1" s="140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spans="1:26" ht="40.5" customHeight="1" x14ac:dyDescent="0.25">
      <c r="A2" s="143" t="s">
        <v>17</v>
      </c>
      <c r="B2" s="144"/>
      <c r="C2" s="144"/>
      <c r="D2" s="144"/>
      <c r="E2" s="144"/>
      <c r="F2" s="145"/>
      <c r="G2" s="145"/>
      <c r="H2" s="145"/>
      <c r="I2" s="145"/>
      <c r="J2" s="146"/>
      <c r="K2" s="140"/>
      <c r="L2" s="140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spans="1:26" ht="20.399999999999999" x14ac:dyDescent="0.25">
      <c r="A3" s="147" t="s">
        <v>18</v>
      </c>
      <c r="B3" s="148"/>
      <c r="C3" s="149" t="s">
        <v>1</v>
      </c>
      <c r="D3" s="149" t="s">
        <v>19</v>
      </c>
      <c r="E3" s="149" t="s">
        <v>20</v>
      </c>
      <c r="F3" s="149" t="s">
        <v>21</v>
      </c>
      <c r="G3" s="149" t="s">
        <v>22</v>
      </c>
      <c r="H3" s="149" t="s">
        <v>23</v>
      </c>
      <c r="I3" s="149" t="s">
        <v>24</v>
      </c>
      <c r="J3" s="149" t="s">
        <v>25</v>
      </c>
      <c r="K3" s="149" t="s">
        <v>26</v>
      </c>
      <c r="L3" s="149" t="s">
        <v>27</v>
      </c>
      <c r="M3" s="149" t="s">
        <v>28</v>
      </c>
      <c r="N3" s="149" t="s">
        <v>29</v>
      </c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 spans="1:26" ht="20.399999999999999" x14ac:dyDescent="0.25">
      <c r="A4" s="150" t="s">
        <v>30</v>
      </c>
      <c r="B4" s="139"/>
      <c r="C4" s="151">
        <f>C14+C23+C30+C37+C44</f>
        <v>0</v>
      </c>
      <c r="D4" s="151">
        <f t="shared" ref="D4:N4" si="0">D14+D23+D30+D37+D44</f>
        <v>0</v>
      </c>
      <c r="E4" s="151">
        <f t="shared" si="0"/>
        <v>0</v>
      </c>
      <c r="F4" s="151">
        <f t="shared" si="0"/>
        <v>0</v>
      </c>
      <c r="G4" s="151">
        <f t="shared" si="0"/>
        <v>0</v>
      </c>
      <c r="H4" s="151">
        <f t="shared" si="0"/>
        <v>0</v>
      </c>
      <c r="I4" s="151">
        <f t="shared" si="0"/>
        <v>0</v>
      </c>
      <c r="J4" s="151">
        <f t="shared" si="0"/>
        <v>0</v>
      </c>
      <c r="K4" s="151">
        <f t="shared" si="0"/>
        <v>0</v>
      </c>
      <c r="L4" s="151">
        <f t="shared" si="0"/>
        <v>0</v>
      </c>
      <c r="M4" s="151">
        <f t="shared" si="0"/>
        <v>0</v>
      </c>
      <c r="N4" s="151">
        <f t="shared" si="0"/>
        <v>0</v>
      </c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spans="1:26" ht="20.399999999999999" x14ac:dyDescent="0.25">
      <c r="A5" s="152" t="s">
        <v>31</v>
      </c>
      <c r="B5" s="153"/>
      <c r="C5" s="151">
        <f t="shared" ref="C5" si="1">C15+C24+C31+C38+C45</f>
        <v>0</v>
      </c>
      <c r="D5" s="151">
        <f t="shared" ref="D5:N5" si="2">D15+D24+D31+D38+D45</f>
        <v>0</v>
      </c>
      <c r="E5" s="151">
        <f t="shared" si="2"/>
        <v>0</v>
      </c>
      <c r="F5" s="151">
        <f t="shared" si="2"/>
        <v>0</v>
      </c>
      <c r="G5" s="151">
        <f t="shared" si="2"/>
        <v>0</v>
      </c>
      <c r="H5" s="151">
        <f t="shared" si="2"/>
        <v>0</v>
      </c>
      <c r="I5" s="151">
        <f t="shared" si="2"/>
        <v>0</v>
      </c>
      <c r="J5" s="151">
        <f t="shared" si="2"/>
        <v>0</v>
      </c>
      <c r="K5" s="151">
        <f t="shared" si="2"/>
        <v>0</v>
      </c>
      <c r="L5" s="151">
        <f t="shared" si="2"/>
        <v>0</v>
      </c>
      <c r="M5" s="151">
        <f t="shared" si="2"/>
        <v>0</v>
      </c>
      <c r="N5" s="151">
        <f t="shared" si="2"/>
        <v>0</v>
      </c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spans="1:26" ht="20.399999999999999" x14ac:dyDescent="0.25">
      <c r="A6" s="152" t="s">
        <v>32</v>
      </c>
      <c r="B6" s="155"/>
      <c r="C6" s="151">
        <f t="shared" ref="C6" si="3">C17+C26+C33+C40+C47</f>
        <v>0</v>
      </c>
      <c r="D6" s="151">
        <f t="shared" ref="D6:N6" si="4">D17+D26+D33+D40+D47</f>
        <v>0</v>
      </c>
      <c r="E6" s="151">
        <f t="shared" si="4"/>
        <v>0</v>
      </c>
      <c r="F6" s="151">
        <f t="shared" si="4"/>
        <v>0</v>
      </c>
      <c r="G6" s="151">
        <f t="shared" si="4"/>
        <v>0</v>
      </c>
      <c r="H6" s="151">
        <f t="shared" si="4"/>
        <v>0</v>
      </c>
      <c r="I6" s="151">
        <f t="shared" si="4"/>
        <v>0</v>
      </c>
      <c r="J6" s="151">
        <f t="shared" si="4"/>
        <v>0</v>
      </c>
      <c r="K6" s="151">
        <f t="shared" si="4"/>
        <v>0</v>
      </c>
      <c r="L6" s="151">
        <f t="shared" si="4"/>
        <v>0</v>
      </c>
      <c r="M6" s="151">
        <f t="shared" si="4"/>
        <v>0</v>
      </c>
      <c r="N6" s="151">
        <f t="shared" si="4"/>
        <v>0</v>
      </c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spans="1:26" ht="20.399999999999999" x14ac:dyDescent="0.25">
      <c r="A7" s="150" t="s">
        <v>13</v>
      </c>
      <c r="B7" s="139"/>
      <c r="C7" s="151">
        <f t="shared" ref="C7" si="5">C18+C27+C34+C41+C48+C51</f>
        <v>0</v>
      </c>
      <c r="D7" s="151">
        <f t="shared" ref="D7:N7" si="6">D18+D27+D34+D41+D48+D51</f>
        <v>0</v>
      </c>
      <c r="E7" s="151">
        <f t="shared" si="6"/>
        <v>0</v>
      </c>
      <c r="F7" s="151">
        <f t="shared" si="6"/>
        <v>0</v>
      </c>
      <c r="G7" s="151">
        <f t="shared" si="6"/>
        <v>0</v>
      </c>
      <c r="H7" s="151">
        <f t="shared" si="6"/>
        <v>0</v>
      </c>
      <c r="I7" s="151">
        <f t="shared" si="6"/>
        <v>0</v>
      </c>
      <c r="J7" s="151">
        <f t="shared" si="6"/>
        <v>0</v>
      </c>
      <c r="K7" s="151">
        <f t="shared" si="6"/>
        <v>0</v>
      </c>
      <c r="L7" s="151">
        <f t="shared" si="6"/>
        <v>0</v>
      </c>
      <c r="M7" s="151">
        <f t="shared" si="6"/>
        <v>0</v>
      </c>
      <c r="N7" s="151">
        <f t="shared" si="6"/>
        <v>0</v>
      </c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26" ht="20.399999999999999" x14ac:dyDescent="0.25">
      <c r="A8" s="150" t="s">
        <v>15</v>
      </c>
      <c r="B8" s="139"/>
      <c r="C8" s="151">
        <f t="shared" ref="C8" si="7">C19+C55</f>
        <v>0</v>
      </c>
      <c r="D8" s="151">
        <f t="shared" ref="D8:N8" si="8">D19+D55</f>
        <v>0</v>
      </c>
      <c r="E8" s="151">
        <f t="shared" si="8"/>
        <v>0</v>
      </c>
      <c r="F8" s="151">
        <f t="shared" si="8"/>
        <v>0</v>
      </c>
      <c r="G8" s="151">
        <f t="shared" si="8"/>
        <v>0</v>
      </c>
      <c r="H8" s="151">
        <f t="shared" si="8"/>
        <v>0</v>
      </c>
      <c r="I8" s="151">
        <f t="shared" si="8"/>
        <v>0</v>
      </c>
      <c r="J8" s="151">
        <f t="shared" si="8"/>
        <v>0</v>
      </c>
      <c r="K8" s="151">
        <f t="shared" si="8"/>
        <v>0</v>
      </c>
      <c r="L8" s="151">
        <f t="shared" si="8"/>
        <v>0</v>
      </c>
      <c r="M8" s="151">
        <f t="shared" si="8"/>
        <v>0</v>
      </c>
      <c r="N8" s="151">
        <f t="shared" si="8"/>
        <v>0</v>
      </c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spans="1:26" ht="20.399999999999999" x14ac:dyDescent="0.25">
      <c r="A9" s="156" t="s">
        <v>14</v>
      </c>
      <c r="B9" s="157"/>
      <c r="C9" s="158">
        <f t="shared" ref="C9" si="9">C20+C54</f>
        <v>0</v>
      </c>
      <c r="D9" s="158">
        <f t="shared" ref="D9:N9" si="10">D20+D54</f>
        <v>0</v>
      </c>
      <c r="E9" s="158">
        <f t="shared" si="10"/>
        <v>0</v>
      </c>
      <c r="F9" s="158">
        <f t="shared" si="10"/>
        <v>0</v>
      </c>
      <c r="G9" s="158">
        <f t="shared" si="10"/>
        <v>0</v>
      </c>
      <c r="H9" s="158">
        <f t="shared" si="10"/>
        <v>0</v>
      </c>
      <c r="I9" s="158">
        <f t="shared" si="10"/>
        <v>0</v>
      </c>
      <c r="J9" s="158">
        <f t="shared" si="10"/>
        <v>0</v>
      </c>
      <c r="K9" s="158">
        <f t="shared" si="10"/>
        <v>0</v>
      </c>
      <c r="L9" s="158">
        <f t="shared" si="10"/>
        <v>0</v>
      </c>
      <c r="M9" s="158">
        <f t="shared" si="10"/>
        <v>0</v>
      </c>
      <c r="N9" s="158">
        <f t="shared" si="10"/>
        <v>0</v>
      </c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spans="1:26" ht="13.2" x14ac:dyDescent="0.25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spans="1:26" ht="13.2" x14ac:dyDescent="0.25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spans="1:26" ht="20.399999999999999" x14ac:dyDescent="0.25">
      <c r="A12" s="159" t="s">
        <v>33</v>
      </c>
      <c r="B12" s="139"/>
      <c r="C12" s="139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spans="1:26" ht="24.6" x14ac:dyDescent="0.25">
      <c r="A13" s="160" t="s">
        <v>34</v>
      </c>
      <c r="B13" s="161"/>
      <c r="C13" s="162" t="s">
        <v>1</v>
      </c>
      <c r="D13" s="149" t="s">
        <v>19</v>
      </c>
      <c r="E13" s="149" t="s">
        <v>20</v>
      </c>
      <c r="F13" s="149" t="s">
        <v>21</v>
      </c>
      <c r="G13" s="149" t="s">
        <v>22</v>
      </c>
      <c r="H13" s="149" t="s">
        <v>23</v>
      </c>
      <c r="I13" s="149" t="s">
        <v>24</v>
      </c>
      <c r="J13" s="149" t="s">
        <v>25</v>
      </c>
      <c r="K13" s="149" t="s">
        <v>26</v>
      </c>
      <c r="L13" s="149" t="s">
        <v>27</v>
      </c>
      <c r="M13" s="149" t="s">
        <v>28</v>
      </c>
      <c r="N13" s="149" t="s">
        <v>29</v>
      </c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spans="1:26" ht="21" x14ac:dyDescent="0.25">
      <c r="A14" s="163">
        <v>1</v>
      </c>
      <c r="B14" s="164" t="s">
        <v>35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spans="1:26" ht="21" x14ac:dyDescent="0.25">
      <c r="A15" s="163">
        <v>2</v>
      </c>
      <c r="B15" s="166" t="s">
        <v>36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spans="1:26" ht="21" x14ac:dyDescent="0.25">
      <c r="A16" s="163">
        <v>3</v>
      </c>
      <c r="B16" s="166" t="s">
        <v>46</v>
      </c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spans="1:26" ht="21" x14ac:dyDescent="0.25">
      <c r="A17" s="163">
        <v>4</v>
      </c>
      <c r="B17" s="166" t="s">
        <v>37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spans="1:26" ht="21" x14ac:dyDescent="0.25">
      <c r="A18" s="163">
        <v>5</v>
      </c>
      <c r="B18" s="166" t="s">
        <v>38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spans="1:26" ht="21" x14ac:dyDescent="0.25">
      <c r="A19" s="163">
        <v>6</v>
      </c>
      <c r="B19" s="166" t="s">
        <v>15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21" x14ac:dyDescent="0.25">
      <c r="A20" s="167">
        <v>7</v>
      </c>
      <c r="B20" s="168" t="s">
        <v>14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13.2" x14ac:dyDescent="0.25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24.6" x14ac:dyDescent="0.25">
      <c r="A22" s="170" t="s">
        <v>39</v>
      </c>
      <c r="B22" s="161"/>
      <c r="C22" s="162" t="s">
        <v>1</v>
      </c>
      <c r="D22" s="149" t="s">
        <v>19</v>
      </c>
      <c r="E22" s="149" t="s">
        <v>20</v>
      </c>
      <c r="F22" s="149" t="s">
        <v>21</v>
      </c>
      <c r="G22" s="149" t="s">
        <v>22</v>
      </c>
      <c r="H22" s="149" t="s">
        <v>23</v>
      </c>
      <c r="I22" s="149" t="s">
        <v>24</v>
      </c>
      <c r="J22" s="149" t="s">
        <v>25</v>
      </c>
      <c r="K22" s="149" t="s">
        <v>26</v>
      </c>
      <c r="L22" s="149" t="s">
        <v>27</v>
      </c>
      <c r="M22" s="149" t="s">
        <v>28</v>
      </c>
      <c r="N22" s="149" t="s">
        <v>29</v>
      </c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21" x14ac:dyDescent="0.25">
      <c r="A23" s="163">
        <v>1</v>
      </c>
      <c r="B23" s="171" t="s">
        <v>35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21" x14ac:dyDescent="0.25">
      <c r="A24" s="163">
        <v>2</v>
      </c>
      <c r="B24" s="172" t="s">
        <v>36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21" x14ac:dyDescent="0.25">
      <c r="A25" s="163">
        <v>3</v>
      </c>
      <c r="B25" s="172" t="s">
        <v>46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21" x14ac:dyDescent="0.25">
      <c r="A26" s="163">
        <v>4</v>
      </c>
      <c r="B26" s="172" t="s">
        <v>37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21" x14ac:dyDescent="0.25">
      <c r="A27" s="167">
        <v>5</v>
      </c>
      <c r="B27" s="173" t="s">
        <v>38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spans="1:26" ht="13.2" x14ac:dyDescent="0.25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spans="1:26" ht="24.6" x14ac:dyDescent="0.25">
      <c r="A29" s="160" t="s">
        <v>40</v>
      </c>
      <c r="B29" s="161"/>
      <c r="C29" s="162" t="s">
        <v>1</v>
      </c>
      <c r="D29" s="149" t="s">
        <v>19</v>
      </c>
      <c r="E29" s="149" t="s">
        <v>20</v>
      </c>
      <c r="F29" s="149" t="s">
        <v>21</v>
      </c>
      <c r="G29" s="149" t="s">
        <v>22</v>
      </c>
      <c r="H29" s="149" t="s">
        <v>23</v>
      </c>
      <c r="I29" s="149" t="s">
        <v>24</v>
      </c>
      <c r="J29" s="149" t="s">
        <v>25</v>
      </c>
      <c r="K29" s="149" t="s">
        <v>26</v>
      </c>
      <c r="L29" s="149" t="s">
        <v>27</v>
      </c>
      <c r="M29" s="149" t="s">
        <v>28</v>
      </c>
      <c r="N29" s="149" t="s">
        <v>29</v>
      </c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spans="1:26" ht="21" x14ac:dyDescent="0.25">
      <c r="A30" s="163">
        <v>1</v>
      </c>
      <c r="B30" s="175" t="s">
        <v>35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spans="1:26" ht="21" x14ac:dyDescent="0.25">
      <c r="A31" s="163">
        <v>2</v>
      </c>
      <c r="B31" s="176" t="s">
        <v>36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spans="1:26" ht="21" x14ac:dyDescent="0.25">
      <c r="A32" s="163">
        <v>3</v>
      </c>
      <c r="B32" s="176" t="s">
        <v>46</v>
      </c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spans="1:26" ht="21" x14ac:dyDescent="0.25">
      <c r="A33" s="163">
        <v>4</v>
      </c>
      <c r="B33" s="176" t="s">
        <v>37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spans="1:26" ht="21" x14ac:dyDescent="0.25">
      <c r="A34" s="163">
        <v>5</v>
      </c>
      <c r="B34" s="168" t="s">
        <v>38</v>
      </c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spans="1:26" ht="13.2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spans="1:26" ht="24.6" x14ac:dyDescent="0.25">
      <c r="A36" s="170" t="s">
        <v>41</v>
      </c>
      <c r="B36" s="161"/>
      <c r="C36" s="162" t="s">
        <v>1</v>
      </c>
      <c r="D36" s="149" t="s">
        <v>19</v>
      </c>
      <c r="E36" s="149" t="s">
        <v>20</v>
      </c>
      <c r="F36" s="149" t="s">
        <v>21</v>
      </c>
      <c r="G36" s="149" t="s">
        <v>22</v>
      </c>
      <c r="H36" s="149" t="s">
        <v>23</v>
      </c>
      <c r="I36" s="149" t="s">
        <v>24</v>
      </c>
      <c r="J36" s="149" t="s">
        <v>25</v>
      </c>
      <c r="K36" s="149" t="s">
        <v>26</v>
      </c>
      <c r="L36" s="149" t="s">
        <v>27</v>
      </c>
      <c r="M36" s="149" t="s">
        <v>28</v>
      </c>
      <c r="N36" s="149" t="s">
        <v>29</v>
      </c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spans="1:26" ht="21" x14ac:dyDescent="0.25">
      <c r="A37" s="163">
        <v>1</v>
      </c>
      <c r="B37" s="171" t="s">
        <v>35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spans="1:26" ht="21" x14ac:dyDescent="0.25">
      <c r="A38" s="163">
        <v>2</v>
      </c>
      <c r="B38" s="172" t="s">
        <v>36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spans="1:26" ht="21" x14ac:dyDescent="0.25">
      <c r="A39" s="163">
        <v>3</v>
      </c>
      <c r="B39" s="172" t="s">
        <v>46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spans="1:26" ht="21" x14ac:dyDescent="0.25">
      <c r="A40" s="163">
        <v>4</v>
      </c>
      <c r="B40" s="172" t="s">
        <v>37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spans="1:26" ht="21" x14ac:dyDescent="0.25">
      <c r="A41" s="163">
        <v>5</v>
      </c>
      <c r="B41" s="173" t="s">
        <v>38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spans="1:26" ht="13.2" x14ac:dyDescent="0.25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spans="1:26" ht="24.6" x14ac:dyDescent="0.25">
      <c r="A43" s="170" t="s">
        <v>42</v>
      </c>
      <c r="B43" s="161"/>
      <c r="C43" s="162" t="s">
        <v>1</v>
      </c>
      <c r="D43" s="149" t="s">
        <v>19</v>
      </c>
      <c r="E43" s="149" t="s">
        <v>20</v>
      </c>
      <c r="F43" s="149" t="s">
        <v>21</v>
      </c>
      <c r="G43" s="149" t="s">
        <v>22</v>
      </c>
      <c r="H43" s="149" t="s">
        <v>23</v>
      </c>
      <c r="I43" s="149" t="s">
        <v>24</v>
      </c>
      <c r="J43" s="149" t="s">
        <v>25</v>
      </c>
      <c r="K43" s="149" t="s">
        <v>26</v>
      </c>
      <c r="L43" s="149" t="s">
        <v>27</v>
      </c>
      <c r="M43" s="149" t="s">
        <v>28</v>
      </c>
      <c r="N43" s="149" t="s">
        <v>29</v>
      </c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spans="1:26" ht="21" x14ac:dyDescent="0.25">
      <c r="A44" s="163">
        <v>1</v>
      </c>
      <c r="B44" s="171" t="s">
        <v>35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spans="1:26" ht="21" x14ac:dyDescent="0.25">
      <c r="A45" s="163">
        <v>2</v>
      </c>
      <c r="B45" s="172" t="s">
        <v>36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spans="1:26" ht="21" x14ac:dyDescent="0.25">
      <c r="A46" s="163">
        <v>3</v>
      </c>
      <c r="B46" s="172" t="s">
        <v>46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spans="1:26" ht="21" x14ac:dyDescent="0.25">
      <c r="A47" s="163">
        <v>4</v>
      </c>
      <c r="B47" s="172" t="s">
        <v>37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spans="1:26" ht="21" x14ac:dyDescent="0.25">
      <c r="A48" s="163">
        <v>5</v>
      </c>
      <c r="B48" s="173" t="s">
        <v>38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spans="1:26" ht="13.2" x14ac:dyDescent="0.25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spans="1:26" ht="24.6" x14ac:dyDescent="0.25">
      <c r="A50" s="170" t="s">
        <v>43</v>
      </c>
      <c r="B50" s="161"/>
      <c r="C50" s="162" t="s">
        <v>1</v>
      </c>
      <c r="D50" s="149" t="s">
        <v>19</v>
      </c>
      <c r="E50" s="149" t="s">
        <v>20</v>
      </c>
      <c r="F50" s="149" t="s">
        <v>21</v>
      </c>
      <c r="G50" s="149" t="s">
        <v>22</v>
      </c>
      <c r="H50" s="149" t="s">
        <v>23</v>
      </c>
      <c r="I50" s="149" t="s">
        <v>24</v>
      </c>
      <c r="J50" s="149" t="s">
        <v>25</v>
      </c>
      <c r="K50" s="149" t="s">
        <v>26</v>
      </c>
      <c r="L50" s="149" t="s">
        <v>27</v>
      </c>
      <c r="M50" s="149" t="s">
        <v>28</v>
      </c>
      <c r="N50" s="149" t="s">
        <v>29</v>
      </c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spans="1:26" ht="21" x14ac:dyDescent="0.25">
      <c r="A51" s="167">
        <v>1</v>
      </c>
      <c r="B51" s="177" t="s">
        <v>38</v>
      </c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spans="1:26" ht="13.2" x14ac:dyDescent="0.25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spans="1:26" ht="24.6" x14ac:dyDescent="0.25">
      <c r="A53" s="170" t="s">
        <v>44</v>
      </c>
      <c r="B53" s="161"/>
      <c r="C53" s="162" t="s">
        <v>1</v>
      </c>
      <c r="D53" s="149" t="s">
        <v>19</v>
      </c>
      <c r="E53" s="149" t="s">
        <v>20</v>
      </c>
      <c r="F53" s="149" t="s">
        <v>21</v>
      </c>
      <c r="G53" s="149" t="s">
        <v>22</v>
      </c>
      <c r="H53" s="149" t="s">
        <v>23</v>
      </c>
      <c r="I53" s="149" t="s">
        <v>24</v>
      </c>
      <c r="J53" s="149" t="s">
        <v>25</v>
      </c>
      <c r="K53" s="149" t="s">
        <v>26</v>
      </c>
      <c r="L53" s="149" t="s">
        <v>27</v>
      </c>
      <c r="M53" s="149" t="s">
        <v>28</v>
      </c>
      <c r="N53" s="149" t="s">
        <v>29</v>
      </c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spans="1:26" ht="21" x14ac:dyDescent="0.25">
      <c r="A54" s="163">
        <v>1</v>
      </c>
      <c r="B54" s="164" t="s">
        <v>14</v>
      </c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spans="1:26" ht="21" x14ac:dyDescent="0.25">
      <c r="A55" s="178">
        <v>2</v>
      </c>
      <c r="B55" s="179" t="s">
        <v>15</v>
      </c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spans="1:26" ht="13.2" x14ac:dyDescent="0.25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spans="1:26" ht="13.2" x14ac:dyDescent="0.25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spans="1:26" ht="13.2" x14ac:dyDescent="0.25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spans="1:26" ht="13.2" x14ac:dyDescent="0.25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spans="1:26" ht="13.2" x14ac:dyDescent="0.25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spans="1:26" ht="13.2" x14ac:dyDescent="0.25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spans="1:26" ht="13.2" x14ac:dyDescent="0.25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spans="1:26" ht="13.2" x14ac:dyDescent="0.25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spans="1:26" ht="13.2" x14ac:dyDescent="0.25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spans="1:26" ht="13.2" x14ac:dyDescent="0.2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spans="1:26" ht="13.2" x14ac:dyDescent="0.25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spans="1:26" ht="13.2" x14ac:dyDescent="0.25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spans="1:26" ht="13.2" x14ac:dyDescent="0.25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spans="1:26" ht="13.2" x14ac:dyDescent="0.25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spans="1:26" ht="13.2" x14ac:dyDescent="0.25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spans="1:26" ht="13.2" x14ac:dyDescent="0.25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spans="1:26" ht="13.2" x14ac:dyDescent="0.25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spans="1:26" ht="13.2" x14ac:dyDescent="0.25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spans="1:26" ht="13.2" x14ac:dyDescent="0.25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spans="1:26" ht="13.2" x14ac:dyDescent="0.2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spans="1:26" ht="13.2" x14ac:dyDescent="0.25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spans="1:26" ht="13.2" x14ac:dyDescent="0.25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spans="1:26" ht="13.2" x14ac:dyDescent="0.25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spans="1:26" ht="13.2" x14ac:dyDescent="0.25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spans="1:26" ht="13.2" x14ac:dyDescent="0.25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spans="1:26" ht="13.2" x14ac:dyDescent="0.25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spans="1:26" ht="13.2" x14ac:dyDescent="0.25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spans="1:26" ht="13.2" x14ac:dyDescent="0.25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spans="1:26" ht="13.2" x14ac:dyDescent="0.25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spans="1:26" ht="13.2" x14ac:dyDescent="0.2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spans="1:26" ht="13.2" x14ac:dyDescent="0.25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spans="1:26" ht="13.2" x14ac:dyDescent="0.25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spans="1:26" ht="13.2" x14ac:dyDescent="0.25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spans="1:26" ht="13.2" x14ac:dyDescent="0.25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spans="1:26" ht="13.2" x14ac:dyDescent="0.25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spans="1:26" ht="13.2" x14ac:dyDescent="0.25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spans="1:26" ht="13.2" x14ac:dyDescent="0.25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spans="1:26" ht="13.2" x14ac:dyDescent="0.25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spans="1:26" ht="13.2" x14ac:dyDescent="0.25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spans="1:26" ht="13.2" x14ac:dyDescent="0.2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spans="1:26" ht="13.2" x14ac:dyDescent="0.25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spans="1:26" ht="13.2" x14ac:dyDescent="0.25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spans="1:26" ht="13.2" x14ac:dyDescent="0.25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spans="1:26" ht="13.2" x14ac:dyDescent="0.25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spans="1:26" ht="13.2" x14ac:dyDescent="0.25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spans="1:26" ht="13.2" x14ac:dyDescent="0.25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spans="1:26" ht="13.2" x14ac:dyDescent="0.25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spans="1:26" ht="13.2" x14ac:dyDescent="0.25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spans="1:26" ht="13.2" x14ac:dyDescent="0.25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spans="1:26" ht="13.2" x14ac:dyDescent="0.2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spans="1:26" ht="13.2" x14ac:dyDescent="0.25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spans="1:26" ht="13.2" x14ac:dyDescent="0.25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spans="1:26" ht="13.2" x14ac:dyDescent="0.25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spans="1:26" ht="13.2" x14ac:dyDescent="0.25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spans="1:26" ht="13.2" x14ac:dyDescent="0.25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spans="1:26" ht="13.2" x14ac:dyDescent="0.25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spans="1:26" ht="13.2" x14ac:dyDescent="0.25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spans="1:26" ht="13.2" x14ac:dyDescent="0.25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spans="1:26" ht="13.2" x14ac:dyDescent="0.25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spans="1:26" ht="13.2" x14ac:dyDescent="0.2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spans="1:26" ht="13.2" x14ac:dyDescent="0.25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spans="1:26" ht="13.2" x14ac:dyDescent="0.25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spans="1:26" ht="13.2" x14ac:dyDescent="0.25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spans="1:26" ht="13.2" x14ac:dyDescent="0.25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spans="1:26" ht="13.2" x14ac:dyDescent="0.25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spans="1:26" ht="13.2" x14ac:dyDescent="0.25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spans="1:26" ht="13.2" x14ac:dyDescent="0.25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spans="1:26" ht="13.2" x14ac:dyDescent="0.25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spans="1:26" ht="13.2" x14ac:dyDescent="0.25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spans="1:26" ht="13.2" x14ac:dyDescent="0.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spans="1:26" ht="13.2" x14ac:dyDescent="0.25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spans="1:26" ht="13.2" x14ac:dyDescent="0.25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spans="1:26" ht="13.2" x14ac:dyDescent="0.25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spans="1:26" ht="13.2" x14ac:dyDescent="0.25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spans="1:26" ht="13.2" x14ac:dyDescent="0.25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spans="1:26" ht="13.2" x14ac:dyDescent="0.25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spans="1:26" ht="13.2" x14ac:dyDescent="0.25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spans="1:26" ht="13.2" x14ac:dyDescent="0.25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spans="1:26" ht="13.2" x14ac:dyDescent="0.25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spans="1:26" ht="13.2" x14ac:dyDescent="0.2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spans="1:26" ht="13.2" x14ac:dyDescent="0.25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spans="1:26" ht="13.2" x14ac:dyDescent="0.25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spans="1:26" ht="13.2" x14ac:dyDescent="0.25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spans="1:26" ht="13.2" x14ac:dyDescent="0.25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spans="1:26" ht="13.2" x14ac:dyDescent="0.25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spans="1:26" ht="13.2" x14ac:dyDescent="0.25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spans="1:26" ht="13.2" x14ac:dyDescent="0.25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spans="1:26" ht="13.2" x14ac:dyDescent="0.25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spans="1:26" ht="13.2" x14ac:dyDescent="0.25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spans="1:26" ht="13.2" x14ac:dyDescent="0.2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spans="1:26" ht="13.2" x14ac:dyDescent="0.25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spans="1:26" ht="13.2" x14ac:dyDescent="0.25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spans="1:26" ht="13.2" x14ac:dyDescent="0.25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spans="1:26" ht="13.2" x14ac:dyDescent="0.25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spans="1:26" ht="13.2" x14ac:dyDescent="0.25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spans="1:26" ht="13.2" x14ac:dyDescent="0.25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spans="1:26" ht="13.2" x14ac:dyDescent="0.25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spans="1:26" ht="13.2" x14ac:dyDescent="0.25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spans="1:26" ht="13.2" x14ac:dyDescent="0.25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spans="1:26" ht="13.2" x14ac:dyDescent="0.2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spans="1:26" ht="13.2" x14ac:dyDescent="0.25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spans="1:26" ht="13.2" x14ac:dyDescent="0.25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spans="1:26" ht="13.2" x14ac:dyDescent="0.25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spans="1:26" ht="13.2" x14ac:dyDescent="0.25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spans="1:26" ht="13.2" x14ac:dyDescent="0.25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spans="1:26" ht="13.2" x14ac:dyDescent="0.25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spans="1:26" ht="13.2" x14ac:dyDescent="0.25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spans="1:26" ht="13.2" x14ac:dyDescent="0.25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spans="1:26" ht="13.2" x14ac:dyDescent="0.25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spans="1:26" ht="13.2" x14ac:dyDescent="0.2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spans="1:26" ht="13.2" x14ac:dyDescent="0.25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spans="1:26" ht="13.2" x14ac:dyDescent="0.25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spans="1:26" ht="13.2" x14ac:dyDescent="0.25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spans="1:26" ht="13.2" x14ac:dyDescent="0.25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spans="1:26" ht="13.2" x14ac:dyDescent="0.25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spans="1:26" ht="13.2" x14ac:dyDescent="0.25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spans="1:26" ht="13.2" x14ac:dyDescent="0.25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spans="1:26" ht="13.2" x14ac:dyDescent="0.25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spans="1:26" ht="13.2" x14ac:dyDescent="0.25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spans="1:26" ht="13.2" x14ac:dyDescent="0.2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spans="1:26" ht="13.2" x14ac:dyDescent="0.25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spans="1:26" ht="13.2" x14ac:dyDescent="0.25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spans="1:26" ht="13.2" x14ac:dyDescent="0.25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spans="1:26" ht="13.2" x14ac:dyDescent="0.25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spans="1:26" ht="13.2" x14ac:dyDescent="0.25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spans="1:26" ht="13.2" x14ac:dyDescent="0.25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spans="1:26" ht="13.2" x14ac:dyDescent="0.25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spans="1:26" ht="13.2" x14ac:dyDescent="0.25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spans="1:26" ht="13.2" x14ac:dyDescent="0.25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spans="1:26" ht="13.2" x14ac:dyDescent="0.2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spans="1:26" ht="13.2" x14ac:dyDescent="0.25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spans="1:26" ht="13.2" x14ac:dyDescent="0.25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spans="1:26" ht="13.2" x14ac:dyDescent="0.25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spans="1:26" ht="13.2" x14ac:dyDescent="0.25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spans="1:26" ht="13.2" x14ac:dyDescent="0.25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spans="1:26" ht="13.2" x14ac:dyDescent="0.25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spans="1:26" ht="13.2" x14ac:dyDescent="0.25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spans="1:26" ht="13.2" x14ac:dyDescent="0.25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spans="1:26" ht="13.2" x14ac:dyDescent="0.25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spans="1:26" ht="13.2" x14ac:dyDescent="0.2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spans="1:26" ht="13.2" x14ac:dyDescent="0.25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spans="1:26" ht="13.2" x14ac:dyDescent="0.25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spans="1:26" ht="13.2" x14ac:dyDescent="0.25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spans="1:26" ht="13.2" x14ac:dyDescent="0.25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spans="1:26" ht="13.2" x14ac:dyDescent="0.25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spans="1:26" ht="13.2" x14ac:dyDescent="0.25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spans="1:26" ht="13.2" x14ac:dyDescent="0.25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spans="1:26" ht="13.2" x14ac:dyDescent="0.25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spans="1:26" ht="13.2" x14ac:dyDescent="0.25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spans="1:26" ht="13.2" x14ac:dyDescent="0.2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spans="1:26" ht="13.2" x14ac:dyDescent="0.25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spans="1:26" ht="13.2" x14ac:dyDescent="0.25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spans="1:26" ht="13.2" x14ac:dyDescent="0.25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spans="1:26" ht="13.2" x14ac:dyDescent="0.25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spans="1:26" ht="13.2" x14ac:dyDescent="0.25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spans="1:26" ht="13.2" x14ac:dyDescent="0.25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spans="1:26" ht="13.2" x14ac:dyDescent="0.25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spans="1:26" ht="13.2" x14ac:dyDescent="0.25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spans="1:26" ht="13.2" x14ac:dyDescent="0.25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spans="1:26" ht="13.2" x14ac:dyDescent="0.2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spans="1:26" ht="13.2" x14ac:dyDescent="0.25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spans="1:26" ht="13.2" x14ac:dyDescent="0.25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spans="1:26" ht="13.2" x14ac:dyDescent="0.25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spans="1:26" ht="13.2" x14ac:dyDescent="0.25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spans="1:26" ht="13.2" x14ac:dyDescent="0.25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spans="1:26" ht="13.2" x14ac:dyDescent="0.25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spans="1:26" ht="13.2" x14ac:dyDescent="0.25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spans="1:26" ht="13.2" x14ac:dyDescent="0.25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spans="1:26" ht="13.2" x14ac:dyDescent="0.25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spans="1:26" ht="13.2" x14ac:dyDescent="0.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spans="1:26" ht="13.2" x14ac:dyDescent="0.25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spans="1:26" ht="13.2" x14ac:dyDescent="0.25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spans="1:26" ht="13.2" x14ac:dyDescent="0.25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spans="1:26" ht="13.2" x14ac:dyDescent="0.25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spans="1:26" ht="13.2" x14ac:dyDescent="0.25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spans="1:26" ht="13.2" x14ac:dyDescent="0.25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spans="1:26" ht="13.2" x14ac:dyDescent="0.25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spans="1:26" ht="13.2" x14ac:dyDescent="0.25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spans="1:26" ht="13.2" x14ac:dyDescent="0.25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spans="1:26" ht="13.2" x14ac:dyDescent="0.2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spans="1:26" ht="13.2" x14ac:dyDescent="0.25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spans="1:26" ht="13.2" x14ac:dyDescent="0.25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spans="1:26" ht="13.2" x14ac:dyDescent="0.25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spans="1:26" ht="13.2" x14ac:dyDescent="0.25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spans="1:26" ht="13.2" x14ac:dyDescent="0.25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spans="1:26" ht="13.2" x14ac:dyDescent="0.25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spans="1:26" ht="13.2" x14ac:dyDescent="0.25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spans="1:26" ht="13.2" x14ac:dyDescent="0.25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spans="1:26" ht="13.2" x14ac:dyDescent="0.25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spans="1:26" ht="13.2" x14ac:dyDescent="0.2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spans="1:26" ht="13.2" x14ac:dyDescent="0.25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spans="1:26" ht="13.2" x14ac:dyDescent="0.25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spans="1:26" ht="13.2" x14ac:dyDescent="0.25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spans="1:26" ht="13.2" x14ac:dyDescent="0.25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spans="1:26" ht="13.2" x14ac:dyDescent="0.25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spans="1:26" ht="13.2" x14ac:dyDescent="0.25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spans="1:26" ht="13.2" x14ac:dyDescent="0.25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spans="1:26" ht="13.2" x14ac:dyDescent="0.25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spans="1:26" ht="13.2" x14ac:dyDescent="0.25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spans="1:26" ht="13.2" x14ac:dyDescent="0.2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spans="1:26" ht="13.2" x14ac:dyDescent="0.25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spans="1:26" ht="13.2" x14ac:dyDescent="0.25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spans="1:26" ht="13.2" x14ac:dyDescent="0.25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spans="1:26" ht="13.2" x14ac:dyDescent="0.25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spans="1:26" ht="13.2" x14ac:dyDescent="0.25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spans="1:26" ht="13.2" x14ac:dyDescent="0.25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spans="1:26" ht="13.2" x14ac:dyDescent="0.25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spans="1:26" ht="13.2" x14ac:dyDescent="0.25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spans="1:26" ht="13.2" x14ac:dyDescent="0.25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spans="1:26" ht="13.2" x14ac:dyDescent="0.2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spans="1:26" ht="13.2" x14ac:dyDescent="0.25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spans="1:26" ht="13.2" x14ac:dyDescent="0.25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spans="1:26" ht="13.2" x14ac:dyDescent="0.25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spans="1:26" ht="13.2" x14ac:dyDescent="0.25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spans="1:26" ht="13.2" x14ac:dyDescent="0.25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spans="1:26" ht="13.2" x14ac:dyDescent="0.25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spans="1:26" ht="13.2" x14ac:dyDescent="0.25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spans="1:26" ht="13.2" x14ac:dyDescent="0.25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spans="1:26" ht="13.2" x14ac:dyDescent="0.25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spans="1:26" ht="13.2" x14ac:dyDescent="0.2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spans="1:26" ht="13.2" x14ac:dyDescent="0.25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spans="1:26" ht="13.2" x14ac:dyDescent="0.25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spans="1:26" ht="13.2" x14ac:dyDescent="0.25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spans="1:26" ht="13.2" x14ac:dyDescent="0.25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spans="1:26" ht="13.2" x14ac:dyDescent="0.25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spans="1:26" ht="13.2" x14ac:dyDescent="0.25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spans="1:26" ht="13.2" x14ac:dyDescent="0.25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spans="1:26" ht="13.2" x14ac:dyDescent="0.25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spans="1:26" ht="13.2" x14ac:dyDescent="0.25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spans="1:26" ht="13.2" x14ac:dyDescent="0.2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spans="1:26" ht="13.2" x14ac:dyDescent="0.25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spans="1:26" ht="13.2" x14ac:dyDescent="0.25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spans="1:26" ht="13.2" x14ac:dyDescent="0.25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spans="1:26" ht="13.2" x14ac:dyDescent="0.25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spans="1:26" ht="13.2" x14ac:dyDescent="0.25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spans="1:26" ht="13.2" x14ac:dyDescent="0.25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spans="1:26" ht="13.2" x14ac:dyDescent="0.25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spans="1:26" ht="13.2" x14ac:dyDescent="0.25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spans="1:26" ht="13.2" x14ac:dyDescent="0.25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spans="1:26" ht="13.2" x14ac:dyDescent="0.2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spans="1:26" ht="13.2" x14ac:dyDescent="0.25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spans="1:26" ht="13.2" x14ac:dyDescent="0.25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spans="1:26" ht="13.2" x14ac:dyDescent="0.25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spans="1:26" ht="13.2" x14ac:dyDescent="0.25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spans="1:26" ht="13.2" x14ac:dyDescent="0.25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spans="1:26" ht="13.2" x14ac:dyDescent="0.25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spans="1:26" ht="13.2" x14ac:dyDescent="0.25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spans="1:26" ht="13.2" x14ac:dyDescent="0.25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spans="1:26" ht="13.2" x14ac:dyDescent="0.25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spans="1:26" ht="13.2" x14ac:dyDescent="0.2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spans="1:26" ht="13.2" x14ac:dyDescent="0.25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spans="1:26" ht="13.2" x14ac:dyDescent="0.25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spans="1:26" ht="13.2" x14ac:dyDescent="0.25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spans="1:26" ht="13.2" x14ac:dyDescent="0.25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spans="1:26" ht="13.2" x14ac:dyDescent="0.25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spans="1:26" ht="13.2" x14ac:dyDescent="0.25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spans="1:26" ht="13.2" x14ac:dyDescent="0.25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spans="1:26" ht="13.2" x14ac:dyDescent="0.25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spans="1:26" ht="13.2" x14ac:dyDescent="0.25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spans="1:26" ht="13.2" x14ac:dyDescent="0.2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spans="1:26" ht="13.2" x14ac:dyDescent="0.25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spans="1:26" ht="13.2" x14ac:dyDescent="0.25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spans="1:26" ht="13.2" x14ac:dyDescent="0.25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spans="1:26" ht="13.2" x14ac:dyDescent="0.25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spans="1:26" ht="13.2" x14ac:dyDescent="0.25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spans="1:26" ht="13.2" x14ac:dyDescent="0.25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spans="1:26" ht="13.2" x14ac:dyDescent="0.25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spans="1:26" ht="13.2" x14ac:dyDescent="0.25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spans="1:26" ht="13.2" x14ac:dyDescent="0.25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spans="1:26" ht="13.2" x14ac:dyDescent="0.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spans="1:26" ht="13.2" x14ac:dyDescent="0.25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spans="1:26" ht="13.2" x14ac:dyDescent="0.25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spans="1:26" ht="13.2" x14ac:dyDescent="0.25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spans="1:26" ht="13.2" x14ac:dyDescent="0.25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spans="1:26" ht="13.2" x14ac:dyDescent="0.25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spans="1:26" ht="13.2" x14ac:dyDescent="0.25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spans="1:26" ht="13.2" x14ac:dyDescent="0.25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spans="1:26" ht="13.2" x14ac:dyDescent="0.25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spans="1:26" ht="13.2" x14ac:dyDescent="0.25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spans="1:26" ht="13.2" x14ac:dyDescent="0.2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spans="1:26" ht="13.2" x14ac:dyDescent="0.25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spans="1:26" ht="13.2" x14ac:dyDescent="0.25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spans="1:26" ht="13.2" x14ac:dyDescent="0.25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spans="1:26" ht="13.2" x14ac:dyDescent="0.25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spans="1:26" ht="13.2" x14ac:dyDescent="0.25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spans="1:26" ht="13.2" x14ac:dyDescent="0.25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spans="1:26" ht="13.2" x14ac:dyDescent="0.25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spans="1:26" ht="13.2" x14ac:dyDescent="0.25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spans="1:26" ht="13.2" x14ac:dyDescent="0.25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spans="1:26" ht="13.2" x14ac:dyDescent="0.2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spans="1:26" ht="13.2" x14ac:dyDescent="0.25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spans="1:26" ht="13.2" x14ac:dyDescent="0.25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spans="1:26" ht="13.2" x14ac:dyDescent="0.25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spans="1:26" ht="13.2" x14ac:dyDescent="0.25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spans="1:26" ht="13.2" x14ac:dyDescent="0.25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spans="1:26" ht="13.2" x14ac:dyDescent="0.25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spans="1:26" ht="13.2" x14ac:dyDescent="0.25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spans="1:26" ht="13.2" x14ac:dyDescent="0.25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spans="1:26" ht="13.2" x14ac:dyDescent="0.25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spans="1:26" ht="13.2" x14ac:dyDescent="0.2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spans="1:26" ht="13.2" x14ac:dyDescent="0.25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spans="1:26" ht="13.2" x14ac:dyDescent="0.25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spans="1:26" ht="13.2" x14ac:dyDescent="0.25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spans="1:26" ht="13.2" x14ac:dyDescent="0.25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spans="1:26" ht="13.2" x14ac:dyDescent="0.25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spans="1:26" ht="13.2" x14ac:dyDescent="0.25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spans="1:26" ht="13.2" x14ac:dyDescent="0.25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spans="1:26" ht="13.2" x14ac:dyDescent="0.25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spans="1:26" ht="13.2" x14ac:dyDescent="0.25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spans="1:26" ht="13.2" x14ac:dyDescent="0.2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spans="1:26" ht="13.2" x14ac:dyDescent="0.25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spans="1:26" ht="13.2" x14ac:dyDescent="0.25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spans="1:26" ht="13.2" x14ac:dyDescent="0.25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spans="1:26" ht="13.2" x14ac:dyDescent="0.25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spans="1:26" ht="13.2" x14ac:dyDescent="0.25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spans="1:26" ht="13.2" x14ac:dyDescent="0.25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spans="1:26" ht="13.2" x14ac:dyDescent="0.25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spans="1:26" ht="13.2" x14ac:dyDescent="0.25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spans="1:26" ht="13.2" x14ac:dyDescent="0.25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spans="1:26" ht="13.2" x14ac:dyDescent="0.2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spans="1:26" ht="13.2" x14ac:dyDescent="0.25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spans="1:26" ht="13.2" x14ac:dyDescent="0.25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spans="1:26" ht="13.2" x14ac:dyDescent="0.25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spans="1:26" ht="13.2" x14ac:dyDescent="0.25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spans="1:26" ht="13.2" x14ac:dyDescent="0.25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spans="1:26" ht="13.2" x14ac:dyDescent="0.25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spans="1:26" ht="13.2" x14ac:dyDescent="0.25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spans="1:26" ht="13.2" x14ac:dyDescent="0.25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spans="1:26" ht="13.2" x14ac:dyDescent="0.25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spans="1:26" ht="13.2" x14ac:dyDescent="0.2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spans="1:26" ht="13.2" x14ac:dyDescent="0.25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spans="1:26" ht="13.2" x14ac:dyDescent="0.25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spans="1:26" ht="13.2" x14ac:dyDescent="0.25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spans="1:26" ht="13.2" x14ac:dyDescent="0.25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spans="1:26" ht="13.2" x14ac:dyDescent="0.25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spans="1:26" ht="13.2" x14ac:dyDescent="0.25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spans="1:26" ht="13.2" x14ac:dyDescent="0.25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spans="1:26" ht="13.2" x14ac:dyDescent="0.25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spans="1:26" ht="13.2" x14ac:dyDescent="0.25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spans="1:26" ht="13.2" x14ac:dyDescent="0.2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spans="1:26" ht="13.2" x14ac:dyDescent="0.25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spans="1:26" ht="13.2" x14ac:dyDescent="0.25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spans="1:26" ht="13.2" x14ac:dyDescent="0.25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spans="1:26" ht="13.2" x14ac:dyDescent="0.25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spans="1:26" ht="13.2" x14ac:dyDescent="0.25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spans="1:26" ht="13.2" x14ac:dyDescent="0.25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spans="1:26" ht="13.2" x14ac:dyDescent="0.25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spans="1:26" ht="13.2" x14ac:dyDescent="0.25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spans="1:26" ht="13.2" x14ac:dyDescent="0.25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spans="1:26" ht="13.2" x14ac:dyDescent="0.2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spans="1:26" ht="13.2" x14ac:dyDescent="0.25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spans="1:26" ht="13.2" x14ac:dyDescent="0.25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spans="1:26" ht="13.2" x14ac:dyDescent="0.25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spans="1:26" ht="13.2" x14ac:dyDescent="0.25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spans="1:26" ht="13.2" x14ac:dyDescent="0.25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spans="1:26" ht="13.2" x14ac:dyDescent="0.25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spans="1:26" ht="13.2" x14ac:dyDescent="0.25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spans="1:26" ht="13.2" x14ac:dyDescent="0.25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spans="1:26" ht="13.2" x14ac:dyDescent="0.25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spans="1:26" ht="13.2" x14ac:dyDescent="0.2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spans="1:26" ht="13.2" x14ac:dyDescent="0.25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spans="1:26" ht="13.2" x14ac:dyDescent="0.25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spans="1:26" ht="13.2" x14ac:dyDescent="0.25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spans="1:26" ht="13.2" x14ac:dyDescent="0.25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spans="1:26" ht="13.2" x14ac:dyDescent="0.25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spans="1:26" ht="13.2" x14ac:dyDescent="0.25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spans="1:26" ht="13.2" x14ac:dyDescent="0.25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spans="1:26" ht="13.2" x14ac:dyDescent="0.25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spans="1:26" ht="13.2" x14ac:dyDescent="0.25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spans="1:26" ht="13.2" x14ac:dyDescent="0.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spans="1:26" ht="13.2" x14ac:dyDescent="0.25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spans="1:26" ht="13.2" x14ac:dyDescent="0.25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spans="1:26" ht="13.2" x14ac:dyDescent="0.25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spans="1:26" ht="13.2" x14ac:dyDescent="0.25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spans="1:26" ht="13.2" x14ac:dyDescent="0.25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spans="1:26" ht="13.2" x14ac:dyDescent="0.25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spans="1:26" ht="13.2" x14ac:dyDescent="0.25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spans="1:26" ht="13.2" x14ac:dyDescent="0.25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spans="1:26" ht="13.2" x14ac:dyDescent="0.25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spans="1:26" ht="13.2" x14ac:dyDescent="0.2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spans="1:26" ht="13.2" x14ac:dyDescent="0.25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spans="1:26" ht="13.2" x14ac:dyDescent="0.25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spans="1:26" ht="13.2" x14ac:dyDescent="0.25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spans="1:26" ht="13.2" x14ac:dyDescent="0.25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spans="1:26" ht="13.2" x14ac:dyDescent="0.25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spans="1:26" ht="13.2" x14ac:dyDescent="0.25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spans="1:26" ht="13.2" x14ac:dyDescent="0.25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spans="1:26" ht="13.2" x14ac:dyDescent="0.25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spans="1:26" ht="13.2" x14ac:dyDescent="0.25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spans="1:26" ht="13.2" x14ac:dyDescent="0.2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spans="1:26" ht="13.2" x14ac:dyDescent="0.25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spans="1:26" ht="13.2" x14ac:dyDescent="0.25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spans="1:26" ht="13.2" x14ac:dyDescent="0.25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spans="1:26" ht="13.2" x14ac:dyDescent="0.25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spans="1:26" ht="13.2" x14ac:dyDescent="0.25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spans="1:26" ht="13.2" x14ac:dyDescent="0.25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spans="1:26" ht="13.2" x14ac:dyDescent="0.25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spans="1:26" ht="13.2" x14ac:dyDescent="0.25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spans="1:26" ht="13.2" x14ac:dyDescent="0.25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spans="1:26" ht="13.2" x14ac:dyDescent="0.2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spans="1:26" ht="13.2" x14ac:dyDescent="0.25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spans="1:26" ht="13.2" x14ac:dyDescent="0.25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spans="1:26" ht="13.2" x14ac:dyDescent="0.25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spans="1:26" ht="13.2" x14ac:dyDescent="0.25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spans="1:26" ht="13.2" x14ac:dyDescent="0.25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spans="1:26" ht="13.2" x14ac:dyDescent="0.25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spans="1:26" ht="13.2" x14ac:dyDescent="0.25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spans="1:26" ht="13.2" x14ac:dyDescent="0.25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spans="1:26" ht="13.2" x14ac:dyDescent="0.25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spans="1:26" ht="13.2" x14ac:dyDescent="0.2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spans="1:26" ht="13.2" x14ac:dyDescent="0.25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spans="1:26" ht="13.2" x14ac:dyDescent="0.25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spans="1:26" ht="13.2" x14ac:dyDescent="0.25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spans="1:26" ht="13.2" x14ac:dyDescent="0.25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spans="1:26" ht="13.2" x14ac:dyDescent="0.25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spans="1:26" ht="13.2" x14ac:dyDescent="0.25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spans="1:26" ht="13.2" x14ac:dyDescent="0.25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spans="1:26" ht="13.2" x14ac:dyDescent="0.25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spans="1:26" ht="13.2" x14ac:dyDescent="0.25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spans="1:26" ht="13.2" x14ac:dyDescent="0.2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spans="1:26" ht="13.2" x14ac:dyDescent="0.25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spans="1:26" ht="13.2" x14ac:dyDescent="0.25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spans="1:26" ht="13.2" x14ac:dyDescent="0.25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spans="1:26" ht="13.2" x14ac:dyDescent="0.25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spans="1:26" ht="13.2" x14ac:dyDescent="0.25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spans="1:26" ht="13.2" x14ac:dyDescent="0.25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spans="1:26" ht="13.2" x14ac:dyDescent="0.25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spans="1:26" ht="13.2" x14ac:dyDescent="0.25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spans="1:26" ht="13.2" x14ac:dyDescent="0.25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spans="1:26" ht="13.2" x14ac:dyDescent="0.2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spans="1:26" ht="13.2" x14ac:dyDescent="0.25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spans="1:26" ht="13.2" x14ac:dyDescent="0.25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spans="1:26" ht="13.2" x14ac:dyDescent="0.25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spans="1:26" ht="13.2" x14ac:dyDescent="0.25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spans="1:26" ht="13.2" x14ac:dyDescent="0.25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spans="1:26" ht="13.2" x14ac:dyDescent="0.25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spans="1:26" ht="13.2" x14ac:dyDescent="0.25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spans="1:26" ht="13.2" x14ac:dyDescent="0.25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spans="1:26" ht="13.2" x14ac:dyDescent="0.25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spans="1:26" ht="13.2" x14ac:dyDescent="0.2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spans="1:26" ht="13.2" x14ac:dyDescent="0.25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spans="1:26" ht="13.2" x14ac:dyDescent="0.25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spans="1:26" ht="13.2" x14ac:dyDescent="0.25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spans="1:26" ht="13.2" x14ac:dyDescent="0.25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spans="1:26" ht="13.2" x14ac:dyDescent="0.25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spans="1:26" ht="13.2" x14ac:dyDescent="0.25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spans="1:26" ht="13.2" x14ac:dyDescent="0.25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spans="1:26" ht="13.2" x14ac:dyDescent="0.25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spans="1:26" ht="13.2" x14ac:dyDescent="0.25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spans="1:26" ht="13.2" x14ac:dyDescent="0.2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spans="1:26" ht="13.2" x14ac:dyDescent="0.25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spans="1:26" ht="13.2" x14ac:dyDescent="0.25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spans="1:26" ht="13.2" x14ac:dyDescent="0.25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spans="1:26" ht="13.2" x14ac:dyDescent="0.25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spans="1:26" ht="13.2" x14ac:dyDescent="0.25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spans="1:26" ht="13.2" x14ac:dyDescent="0.25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spans="1:26" ht="13.2" x14ac:dyDescent="0.25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spans="1:26" ht="13.2" x14ac:dyDescent="0.25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spans="1:26" ht="13.2" x14ac:dyDescent="0.25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spans="1:26" ht="13.2" x14ac:dyDescent="0.2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spans="1:26" ht="13.2" x14ac:dyDescent="0.25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spans="1:26" ht="13.2" x14ac:dyDescent="0.25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spans="1:26" ht="13.2" x14ac:dyDescent="0.25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spans="1:26" ht="13.2" x14ac:dyDescent="0.25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spans="1:26" ht="13.2" x14ac:dyDescent="0.25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spans="1:26" ht="13.2" x14ac:dyDescent="0.25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spans="1:26" ht="13.2" x14ac:dyDescent="0.25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spans="1:26" ht="13.2" x14ac:dyDescent="0.25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spans="1:26" ht="13.2" x14ac:dyDescent="0.25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spans="1:26" ht="13.2" x14ac:dyDescent="0.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spans="1:26" ht="13.2" x14ac:dyDescent="0.25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spans="1:26" ht="13.2" x14ac:dyDescent="0.25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spans="1:26" ht="13.2" x14ac:dyDescent="0.25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spans="1:26" ht="13.2" x14ac:dyDescent="0.25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spans="1:26" ht="13.2" x14ac:dyDescent="0.25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spans="1:26" ht="13.2" x14ac:dyDescent="0.25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spans="1:26" ht="13.2" x14ac:dyDescent="0.25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spans="1:26" ht="13.2" x14ac:dyDescent="0.25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spans="1:26" ht="13.2" x14ac:dyDescent="0.25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spans="1:26" ht="13.2" x14ac:dyDescent="0.2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spans="1:26" ht="13.2" x14ac:dyDescent="0.25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spans="1:26" ht="13.2" x14ac:dyDescent="0.25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spans="1:26" ht="13.2" x14ac:dyDescent="0.25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spans="1:26" ht="13.2" x14ac:dyDescent="0.25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spans="1:26" ht="13.2" x14ac:dyDescent="0.25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spans="1:26" ht="13.2" x14ac:dyDescent="0.25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spans="1:26" ht="13.2" x14ac:dyDescent="0.25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spans="1:26" ht="13.2" x14ac:dyDescent="0.25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spans="1:26" ht="13.2" x14ac:dyDescent="0.25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spans="1:26" ht="13.2" x14ac:dyDescent="0.2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spans="1:26" ht="13.2" x14ac:dyDescent="0.25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spans="1:26" ht="13.2" x14ac:dyDescent="0.25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spans="1:26" ht="13.2" x14ac:dyDescent="0.25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spans="1:26" ht="13.2" x14ac:dyDescent="0.25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spans="1:26" ht="13.2" x14ac:dyDescent="0.25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spans="1:26" ht="13.2" x14ac:dyDescent="0.25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spans="1:26" ht="13.2" x14ac:dyDescent="0.25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spans="1:26" ht="13.2" x14ac:dyDescent="0.25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spans="1:26" ht="13.2" x14ac:dyDescent="0.25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spans="1:26" ht="13.2" x14ac:dyDescent="0.2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spans="1:26" ht="13.2" x14ac:dyDescent="0.25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spans="1:26" ht="13.2" x14ac:dyDescent="0.25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spans="1:26" ht="13.2" x14ac:dyDescent="0.25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spans="1:26" ht="13.2" x14ac:dyDescent="0.25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spans="1:26" ht="13.2" x14ac:dyDescent="0.25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spans="1:26" ht="13.2" x14ac:dyDescent="0.25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spans="1:26" ht="13.2" x14ac:dyDescent="0.25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spans="1:26" ht="13.2" x14ac:dyDescent="0.25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spans="1:26" ht="13.2" x14ac:dyDescent="0.25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spans="1:26" ht="13.2" x14ac:dyDescent="0.2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spans="1:26" ht="13.2" x14ac:dyDescent="0.25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spans="1:26" ht="13.2" x14ac:dyDescent="0.25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spans="1:26" ht="13.2" x14ac:dyDescent="0.25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spans="1:26" ht="13.2" x14ac:dyDescent="0.25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spans="1:26" ht="13.2" x14ac:dyDescent="0.25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spans="1:26" ht="13.2" x14ac:dyDescent="0.25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spans="1:26" ht="13.2" x14ac:dyDescent="0.25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spans="1:26" ht="13.2" x14ac:dyDescent="0.25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spans="1:26" ht="13.2" x14ac:dyDescent="0.25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spans="1:26" ht="13.2" x14ac:dyDescent="0.2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spans="1:26" ht="13.2" x14ac:dyDescent="0.25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spans="1:26" ht="13.2" x14ac:dyDescent="0.25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spans="1:26" ht="13.2" x14ac:dyDescent="0.25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spans="1:26" ht="13.2" x14ac:dyDescent="0.25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spans="1:26" ht="13.2" x14ac:dyDescent="0.25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spans="1:26" ht="13.2" x14ac:dyDescent="0.25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spans="1:26" ht="13.2" x14ac:dyDescent="0.25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spans="1:26" ht="13.2" x14ac:dyDescent="0.25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spans="1:26" ht="13.2" x14ac:dyDescent="0.25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spans="1:26" ht="13.2" x14ac:dyDescent="0.2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spans="1:26" ht="13.2" x14ac:dyDescent="0.25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spans="1:26" ht="13.2" x14ac:dyDescent="0.25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spans="1:26" ht="13.2" x14ac:dyDescent="0.25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spans="1:26" ht="13.2" x14ac:dyDescent="0.25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spans="1:26" ht="13.2" x14ac:dyDescent="0.25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spans="1:26" ht="13.2" x14ac:dyDescent="0.25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spans="1:26" ht="13.2" x14ac:dyDescent="0.25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spans="1:26" ht="13.2" x14ac:dyDescent="0.25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spans="1:26" ht="13.2" x14ac:dyDescent="0.25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spans="1:26" ht="13.2" x14ac:dyDescent="0.2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spans="1:26" ht="13.2" x14ac:dyDescent="0.25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spans="1:26" ht="13.2" x14ac:dyDescent="0.25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spans="1:26" ht="13.2" x14ac:dyDescent="0.25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spans="1:26" ht="13.2" x14ac:dyDescent="0.25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spans="1:26" ht="13.2" x14ac:dyDescent="0.25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spans="1:26" ht="13.2" x14ac:dyDescent="0.25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spans="1:26" ht="13.2" x14ac:dyDescent="0.25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spans="1:26" ht="13.2" x14ac:dyDescent="0.25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spans="1:26" ht="13.2" x14ac:dyDescent="0.25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spans="1:26" ht="13.2" x14ac:dyDescent="0.2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spans="1:26" ht="13.2" x14ac:dyDescent="0.25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spans="1:26" ht="13.2" x14ac:dyDescent="0.25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spans="1:26" ht="13.2" x14ac:dyDescent="0.25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spans="1:26" ht="13.2" x14ac:dyDescent="0.25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spans="1:26" ht="13.2" x14ac:dyDescent="0.25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spans="1:26" ht="13.2" x14ac:dyDescent="0.25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spans="1:26" ht="13.2" x14ac:dyDescent="0.25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spans="1:26" ht="13.2" x14ac:dyDescent="0.25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spans="1:26" ht="13.2" x14ac:dyDescent="0.25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spans="1:26" ht="13.2" x14ac:dyDescent="0.2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spans="1:26" ht="13.2" x14ac:dyDescent="0.25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spans="1:26" ht="13.2" x14ac:dyDescent="0.25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spans="1:26" ht="13.2" x14ac:dyDescent="0.25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spans="1:26" ht="13.2" x14ac:dyDescent="0.25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spans="1:26" ht="13.2" x14ac:dyDescent="0.25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spans="1:26" ht="13.2" x14ac:dyDescent="0.25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spans="1:26" ht="13.2" x14ac:dyDescent="0.25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spans="1:26" ht="13.2" x14ac:dyDescent="0.25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spans="1:26" ht="13.2" x14ac:dyDescent="0.25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spans="1:26" ht="13.2" x14ac:dyDescent="0.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spans="1:26" ht="13.2" x14ac:dyDescent="0.25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spans="1:26" ht="13.2" x14ac:dyDescent="0.25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spans="1:26" ht="13.2" x14ac:dyDescent="0.25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spans="1:26" ht="13.2" x14ac:dyDescent="0.25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spans="1:26" ht="13.2" x14ac:dyDescent="0.25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spans="1:26" ht="13.2" x14ac:dyDescent="0.25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spans="1:26" ht="13.2" x14ac:dyDescent="0.25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spans="1:26" ht="13.2" x14ac:dyDescent="0.25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spans="1:26" ht="13.2" x14ac:dyDescent="0.25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spans="1:26" ht="13.2" x14ac:dyDescent="0.2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spans="1:26" ht="13.2" x14ac:dyDescent="0.25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spans="1:26" ht="13.2" x14ac:dyDescent="0.25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spans="1:26" ht="13.2" x14ac:dyDescent="0.25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spans="1:26" ht="13.2" x14ac:dyDescent="0.25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spans="1:26" ht="13.2" x14ac:dyDescent="0.25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spans="1:26" ht="13.2" x14ac:dyDescent="0.25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spans="1:26" ht="13.2" x14ac:dyDescent="0.25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spans="1:26" ht="13.2" x14ac:dyDescent="0.25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spans="1:26" ht="13.2" x14ac:dyDescent="0.25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spans="1:26" ht="13.2" x14ac:dyDescent="0.2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spans="1:26" ht="13.2" x14ac:dyDescent="0.25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spans="1:26" ht="13.2" x14ac:dyDescent="0.25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spans="1:26" ht="13.2" x14ac:dyDescent="0.25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spans="1:26" ht="13.2" x14ac:dyDescent="0.25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spans="1:26" ht="13.2" x14ac:dyDescent="0.25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spans="1:26" ht="13.2" x14ac:dyDescent="0.25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spans="1:26" ht="13.2" x14ac:dyDescent="0.25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spans="1:26" ht="13.2" x14ac:dyDescent="0.25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spans="1:26" ht="13.2" x14ac:dyDescent="0.25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spans="1:26" ht="13.2" x14ac:dyDescent="0.2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spans="1:26" ht="13.2" x14ac:dyDescent="0.25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spans="1:26" ht="13.2" x14ac:dyDescent="0.25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spans="1:26" ht="13.2" x14ac:dyDescent="0.25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spans="1:26" ht="13.2" x14ac:dyDescent="0.25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spans="1:26" ht="13.2" x14ac:dyDescent="0.25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spans="1:26" ht="13.2" x14ac:dyDescent="0.25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spans="1:26" ht="13.2" x14ac:dyDescent="0.25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spans="1:26" ht="13.2" x14ac:dyDescent="0.25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spans="1:26" ht="13.2" x14ac:dyDescent="0.25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spans="1:26" ht="13.2" x14ac:dyDescent="0.2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spans="1:26" ht="13.2" x14ac:dyDescent="0.25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spans="1:26" ht="13.2" x14ac:dyDescent="0.25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spans="1:26" ht="13.2" x14ac:dyDescent="0.25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spans="1:26" ht="13.2" x14ac:dyDescent="0.25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spans="1:26" ht="13.2" x14ac:dyDescent="0.25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spans="1:26" ht="13.2" x14ac:dyDescent="0.25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spans="1:26" ht="13.2" x14ac:dyDescent="0.25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spans="1:26" ht="13.2" x14ac:dyDescent="0.25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spans="1:26" ht="13.2" x14ac:dyDescent="0.25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spans="1:26" ht="13.2" x14ac:dyDescent="0.2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spans="1:26" ht="13.2" x14ac:dyDescent="0.25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spans="1:26" ht="13.2" x14ac:dyDescent="0.25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spans="1:26" ht="13.2" x14ac:dyDescent="0.25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spans="1:26" ht="13.2" x14ac:dyDescent="0.25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spans="1:26" ht="13.2" x14ac:dyDescent="0.25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spans="1:26" ht="13.2" x14ac:dyDescent="0.25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spans="1:26" ht="13.2" x14ac:dyDescent="0.25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spans="1:26" ht="13.2" x14ac:dyDescent="0.25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spans="1:26" ht="13.2" x14ac:dyDescent="0.25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spans="1:26" ht="13.2" x14ac:dyDescent="0.2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spans="1:26" ht="13.2" x14ac:dyDescent="0.25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spans="1:26" ht="13.2" x14ac:dyDescent="0.25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spans="1:26" ht="13.2" x14ac:dyDescent="0.25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spans="1:26" ht="13.2" x14ac:dyDescent="0.25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spans="1:26" ht="13.2" x14ac:dyDescent="0.25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spans="1:26" ht="13.2" x14ac:dyDescent="0.25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spans="1:26" ht="13.2" x14ac:dyDescent="0.25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spans="1:26" ht="13.2" x14ac:dyDescent="0.25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spans="1:26" ht="13.2" x14ac:dyDescent="0.25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spans="1:26" ht="13.2" x14ac:dyDescent="0.2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spans="1:26" ht="13.2" x14ac:dyDescent="0.25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spans="1:26" ht="13.2" x14ac:dyDescent="0.25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spans="1:26" ht="13.2" x14ac:dyDescent="0.25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spans="1:26" ht="13.2" x14ac:dyDescent="0.25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spans="1:26" ht="13.2" x14ac:dyDescent="0.25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spans="1:26" ht="13.2" x14ac:dyDescent="0.25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spans="1:26" ht="13.2" x14ac:dyDescent="0.25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spans="1:26" ht="13.2" x14ac:dyDescent="0.25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spans="1:26" ht="13.2" x14ac:dyDescent="0.25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spans="1:26" ht="13.2" x14ac:dyDescent="0.2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spans="1:26" ht="13.2" x14ac:dyDescent="0.25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spans="1:26" ht="13.2" x14ac:dyDescent="0.25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spans="1:26" ht="13.2" x14ac:dyDescent="0.25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spans="1:26" ht="13.2" x14ac:dyDescent="0.25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spans="1:26" ht="13.2" x14ac:dyDescent="0.25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spans="1:26" ht="13.2" x14ac:dyDescent="0.25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spans="1:26" ht="13.2" x14ac:dyDescent="0.25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spans="1:26" ht="13.2" x14ac:dyDescent="0.25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spans="1:26" ht="13.2" x14ac:dyDescent="0.25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spans="1:26" ht="13.2" x14ac:dyDescent="0.2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spans="1:26" ht="13.2" x14ac:dyDescent="0.25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spans="1:26" ht="13.2" x14ac:dyDescent="0.25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spans="1:26" ht="13.2" x14ac:dyDescent="0.25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spans="1:26" ht="13.2" x14ac:dyDescent="0.25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spans="1:26" ht="13.2" x14ac:dyDescent="0.25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spans="1:26" ht="13.2" x14ac:dyDescent="0.25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spans="1:26" ht="13.2" x14ac:dyDescent="0.25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spans="1:26" ht="13.2" x14ac:dyDescent="0.25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spans="1:26" ht="13.2" x14ac:dyDescent="0.25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spans="1:26" ht="13.2" x14ac:dyDescent="0.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spans="1:26" ht="13.2" x14ac:dyDescent="0.25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spans="1:26" ht="13.2" x14ac:dyDescent="0.25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spans="1:26" ht="13.2" x14ac:dyDescent="0.25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spans="1:26" ht="13.2" x14ac:dyDescent="0.25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spans="1:26" ht="13.2" x14ac:dyDescent="0.25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spans="1:26" ht="13.2" x14ac:dyDescent="0.25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spans="1:26" ht="13.2" x14ac:dyDescent="0.25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spans="1:26" ht="13.2" x14ac:dyDescent="0.25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spans="1:26" ht="13.2" x14ac:dyDescent="0.25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spans="1:26" ht="13.2" x14ac:dyDescent="0.2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spans="1:26" ht="13.2" x14ac:dyDescent="0.25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spans="1:26" ht="13.2" x14ac:dyDescent="0.25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spans="1:26" ht="13.2" x14ac:dyDescent="0.25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spans="1:26" ht="13.2" x14ac:dyDescent="0.25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spans="1:26" ht="13.2" x14ac:dyDescent="0.25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spans="1:26" ht="13.2" x14ac:dyDescent="0.25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spans="1:26" ht="13.2" x14ac:dyDescent="0.25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spans="1:26" ht="13.2" x14ac:dyDescent="0.25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spans="1:26" ht="13.2" x14ac:dyDescent="0.25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spans="1:26" ht="13.2" x14ac:dyDescent="0.2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spans="1:26" ht="13.2" x14ac:dyDescent="0.25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spans="1:26" ht="13.2" x14ac:dyDescent="0.25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spans="1:26" ht="13.2" x14ac:dyDescent="0.25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spans="1:26" ht="13.2" x14ac:dyDescent="0.25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spans="1:26" ht="13.2" x14ac:dyDescent="0.25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spans="1:26" ht="13.2" x14ac:dyDescent="0.25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spans="1:26" ht="13.2" x14ac:dyDescent="0.25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spans="1:26" ht="13.2" x14ac:dyDescent="0.25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spans="1:26" ht="13.2" x14ac:dyDescent="0.25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spans="1:26" ht="13.2" x14ac:dyDescent="0.2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spans="1:26" ht="13.2" x14ac:dyDescent="0.25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spans="1:26" ht="13.2" x14ac:dyDescent="0.25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spans="1:26" ht="13.2" x14ac:dyDescent="0.25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spans="1:26" ht="13.2" x14ac:dyDescent="0.25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spans="1:26" ht="13.2" x14ac:dyDescent="0.25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spans="1:26" ht="13.2" x14ac:dyDescent="0.25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spans="1:26" ht="13.2" x14ac:dyDescent="0.25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spans="1:26" ht="13.2" x14ac:dyDescent="0.25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spans="1:26" ht="13.2" x14ac:dyDescent="0.25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spans="1:26" ht="13.2" x14ac:dyDescent="0.2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spans="1:26" ht="13.2" x14ac:dyDescent="0.25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spans="1:26" ht="13.2" x14ac:dyDescent="0.25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spans="1:26" ht="13.2" x14ac:dyDescent="0.25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spans="1:26" ht="13.2" x14ac:dyDescent="0.25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spans="1:26" ht="13.2" x14ac:dyDescent="0.25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spans="1:26" ht="13.2" x14ac:dyDescent="0.25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spans="1:26" ht="13.2" x14ac:dyDescent="0.25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spans="1:26" ht="13.2" x14ac:dyDescent="0.25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spans="1:26" ht="13.2" x14ac:dyDescent="0.25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spans="1:26" ht="13.2" x14ac:dyDescent="0.2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spans="1:26" ht="13.2" x14ac:dyDescent="0.25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spans="1:26" ht="13.2" x14ac:dyDescent="0.25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spans="1:26" ht="13.2" x14ac:dyDescent="0.25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spans="1:26" ht="13.2" x14ac:dyDescent="0.25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spans="1:26" ht="13.2" x14ac:dyDescent="0.25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spans="1:26" ht="13.2" x14ac:dyDescent="0.25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spans="1:26" ht="13.2" x14ac:dyDescent="0.25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spans="1:26" ht="13.2" x14ac:dyDescent="0.25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spans="1:26" ht="13.2" x14ac:dyDescent="0.25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spans="1:26" ht="13.2" x14ac:dyDescent="0.2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spans="1:26" ht="13.2" x14ac:dyDescent="0.25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spans="1:26" ht="13.2" x14ac:dyDescent="0.25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spans="1:26" ht="13.2" x14ac:dyDescent="0.25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spans="1:26" ht="13.2" x14ac:dyDescent="0.25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spans="1:26" ht="13.2" x14ac:dyDescent="0.25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spans="1:26" ht="13.2" x14ac:dyDescent="0.25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spans="1:26" ht="13.2" x14ac:dyDescent="0.25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spans="1:26" ht="13.2" x14ac:dyDescent="0.25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spans="1:26" ht="13.2" x14ac:dyDescent="0.25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spans="1:26" ht="13.2" x14ac:dyDescent="0.2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spans="1:26" ht="13.2" x14ac:dyDescent="0.25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spans="1:26" ht="13.2" x14ac:dyDescent="0.25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spans="1:26" ht="13.2" x14ac:dyDescent="0.25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spans="1:26" ht="13.2" x14ac:dyDescent="0.25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spans="1:26" ht="13.2" x14ac:dyDescent="0.25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spans="1:26" ht="13.2" x14ac:dyDescent="0.25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spans="1:26" ht="13.2" x14ac:dyDescent="0.25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spans="1:26" ht="13.2" x14ac:dyDescent="0.25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spans="1:26" ht="13.2" x14ac:dyDescent="0.25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spans="1:26" ht="13.2" x14ac:dyDescent="0.2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spans="1:26" ht="13.2" x14ac:dyDescent="0.25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spans="1:26" ht="13.2" x14ac:dyDescent="0.25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spans="1:26" ht="13.2" x14ac:dyDescent="0.25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spans="1:26" ht="13.2" x14ac:dyDescent="0.25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spans="1:26" ht="13.2" x14ac:dyDescent="0.25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spans="1:26" ht="13.2" x14ac:dyDescent="0.25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spans="1:26" ht="13.2" x14ac:dyDescent="0.25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spans="1:26" ht="13.2" x14ac:dyDescent="0.25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spans="1:26" ht="13.2" x14ac:dyDescent="0.25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spans="1:26" ht="13.2" x14ac:dyDescent="0.2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spans="1:26" ht="13.2" x14ac:dyDescent="0.25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spans="1:26" ht="13.2" x14ac:dyDescent="0.25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spans="1:26" ht="13.2" x14ac:dyDescent="0.25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spans="1:26" ht="13.2" x14ac:dyDescent="0.25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spans="1:26" ht="13.2" x14ac:dyDescent="0.25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spans="1:26" ht="13.2" x14ac:dyDescent="0.25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spans="1:26" ht="13.2" x14ac:dyDescent="0.25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spans="1:26" ht="13.2" x14ac:dyDescent="0.25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spans="1:26" ht="13.2" x14ac:dyDescent="0.25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spans="1:26" ht="13.2" x14ac:dyDescent="0.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spans="1:26" ht="13.2" x14ac:dyDescent="0.25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spans="1:26" ht="13.2" x14ac:dyDescent="0.25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spans="1:26" ht="13.2" x14ac:dyDescent="0.25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spans="1:26" ht="13.2" x14ac:dyDescent="0.25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spans="1:26" ht="13.2" x14ac:dyDescent="0.25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spans="1:26" ht="13.2" x14ac:dyDescent="0.25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spans="1:26" ht="13.2" x14ac:dyDescent="0.25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spans="1:26" ht="13.2" x14ac:dyDescent="0.25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spans="1:26" ht="13.2" x14ac:dyDescent="0.25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spans="1:26" ht="13.2" x14ac:dyDescent="0.2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spans="1:26" ht="13.2" x14ac:dyDescent="0.25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spans="1:26" ht="13.2" x14ac:dyDescent="0.25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spans="1:26" ht="13.2" x14ac:dyDescent="0.25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spans="1:26" ht="13.2" x14ac:dyDescent="0.25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spans="1:26" ht="13.2" x14ac:dyDescent="0.25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spans="1:26" ht="13.2" x14ac:dyDescent="0.25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spans="1:26" ht="13.2" x14ac:dyDescent="0.25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spans="1:26" ht="13.2" x14ac:dyDescent="0.25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spans="1:26" ht="13.2" x14ac:dyDescent="0.25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spans="1:26" ht="13.2" x14ac:dyDescent="0.2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spans="1:26" ht="13.2" x14ac:dyDescent="0.25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spans="1:26" ht="13.2" x14ac:dyDescent="0.25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spans="1:26" ht="13.2" x14ac:dyDescent="0.25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spans="1:26" ht="13.2" x14ac:dyDescent="0.25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spans="1:26" ht="13.2" x14ac:dyDescent="0.25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spans="1:26" ht="13.2" x14ac:dyDescent="0.25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spans="1:26" ht="13.2" x14ac:dyDescent="0.25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spans="1:26" ht="13.2" x14ac:dyDescent="0.25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spans="1:26" ht="13.2" x14ac:dyDescent="0.25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spans="1:26" ht="13.2" x14ac:dyDescent="0.2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spans="1:26" ht="13.2" x14ac:dyDescent="0.25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spans="1:26" ht="13.2" x14ac:dyDescent="0.25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spans="1:26" ht="13.2" x14ac:dyDescent="0.25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spans="1:26" ht="13.2" x14ac:dyDescent="0.25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spans="1:26" ht="13.2" x14ac:dyDescent="0.25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spans="1:26" ht="13.2" x14ac:dyDescent="0.25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spans="1:26" ht="13.2" x14ac:dyDescent="0.25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spans="1:26" ht="13.2" x14ac:dyDescent="0.25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spans="1:26" ht="13.2" x14ac:dyDescent="0.25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spans="1:26" ht="13.2" x14ac:dyDescent="0.2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spans="1:26" ht="13.2" x14ac:dyDescent="0.25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spans="1:26" ht="13.2" x14ac:dyDescent="0.25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spans="1:26" ht="13.2" x14ac:dyDescent="0.25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spans="1:26" ht="13.2" x14ac:dyDescent="0.25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spans="1:26" ht="13.2" x14ac:dyDescent="0.25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spans="1:26" ht="13.2" x14ac:dyDescent="0.25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spans="1:26" ht="13.2" x14ac:dyDescent="0.25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spans="1:26" ht="13.2" x14ac:dyDescent="0.25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spans="1:26" ht="13.2" x14ac:dyDescent="0.25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spans="1:26" ht="13.2" x14ac:dyDescent="0.2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spans="1:26" ht="13.2" x14ac:dyDescent="0.25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spans="1:26" ht="13.2" x14ac:dyDescent="0.25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spans="1:26" ht="13.2" x14ac:dyDescent="0.25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spans="1:26" ht="13.2" x14ac:dyDescent="0.25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spans="1:26" ht="13.2" x14ac:dyDescent="0.25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spans="1:26" ht="13.2" x14ac:dyDescent="0.25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spans="1:26" ht="13.2" x14ac:dyDescent="0.25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spans="1:26" ht="13.2" x14ac:dyDescent="0.25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spans="1:26" ht="13.2" x14ac:dyDescent="0.25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spans="1:26" ht="13.2" x14ac:dyDescent="0.2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spans="1:26" ht="13.2" x14ac:dyDescent="0.25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spans="1:26" ht="13.2" x14ac:dyDescent="0.25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spans="1:26" ht="13.2" x14ac:dyDescent="0.25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spans="1:26" ht="13.2" x14ac:dyDescent="0.25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spans="1:26" ht="13.2" x14ac:dyDescent="0.25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spans="1:26" ht="13.2" x14ac:dyDescent="0.25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spans="1:26" ht="13.2" x14ac:dyDescent="0.25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spans="1:26" ht="13.2" x14ac:dyDescent="0.25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spans="1:26" ht="13.2" x14ac:dyDescent="0.25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spans="1:26" ht="13.2" x14ac:dyDescent="0.2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spans="1:26" ht="13.2" x14ac:dyDescent="0.25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spans="1:26" ht="13.2" x14ac:dyDescent="0.25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spans="1:26" ht="13.2" x14ac:dyDescent="0.25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spans="1:26" ht="13.2" x14ac:dyDescent="0.25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spans="1:26" ht="13.2" x14ac:dyDescent="0.25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spans="1:26" ht="13.2" x14ac:dyDescent="0.25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spans="1:26" ht="13.2" x14ac:dyDescent="0.25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spans="1:26" ht="13.2" x14ac:dyDescent="0.25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spans="1:26" ht="13.2" x14ac:dyDescent="0.25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spans="1:26" ht="13.2" x14ac:dyDescent="0.2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spans="1:26" ht="13.2" x14ac:dyDescent="0.25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spans="1:26" ht="13.2" x14ac:dyDescent="0.25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spans="1:26" ht="13.2" x14ac:dyDescent="0.25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spans="1:26" ht="13.2" x14ac:dyDescent="0.25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spans="1:26" ht="13.2" x14ac:dyDescent="0.25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spans="1:26" ht="13.2" x14ac:dyDescent="0.25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spans="1:26" ht="13.2" x14ac:dyDescent="0.25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spans="1:26" ht="13.2" x14ac:dyDescent="0.25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spans="1:26" ht="13.2" x14ac:dyDescent="0.25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spans="1:26" ht="13.2" x14ac:dyDescent="0.2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spans="1:26" ht="13.2" x14ac:dyDescent="0.25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spans="1:26" ht="13.2" x14ac:dyDescent="0.25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spans="1:26" ht="13.2" x14ac:dyDescent="0.25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spans="1:26" ht="13.2" x14ac:dyDescent="0.25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spans="1:26" ht="13.2" x14ac:dyDescent="0.25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spans="1:26" ht="13.2" x14ac:dyDescent="0.25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spans="1:26" ht="13.2" x14ac:dyDescent="0.25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spans="1:26" ht="13.2" x14ac:dyDescent="0.25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spans="1:26" ht="13.2" x14ac:dyDescent="0.25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spans="1:26" ht="13.2" x14ac:dyDescent="0.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spans="1:26" ht="13.2" x14ac:dyDescent="0.25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spans="1:26" ht="13.2" x14ac:dyDescent="0.25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spans="1:26" ht="13.2" x14ac:dyDescent="0.25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spans="1:26" ht="13.2" x14ac:dyDescent="0.25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spans="1:26" ht="13.2" x14ac:dyDescent="0.25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spans="1:26" ht="13.2" x14ac:dyDescent="0.25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spans="1:26" ht="13.2" x14ac:dyDescent="0.25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spans="1:26" ht="13.2" x14ac:dyDescent="0.25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spans="1:26" ht="13.2" x14ac:dyDescent="0.25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spans="1:26" ht="13.2" x14ac:dyDescent="0.2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spans="1:26" ht="13.2" x14ac:dyDescent="0.25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spans="1:26" ht="13.2" x14ac:dyDescent="0.25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spans="1:26" ht="13.2" x14ac:dyDescent="0.25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spans="1:26" ht="13.2" x14ac:dyDescent="0.25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spans="1:26" ht="13.2" x14ac:dyDescent="0.25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spans="1:26" ht="13.2" x14ac:dyDescent="0.25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spans="1:26" ht="13.2" x14ac:dyDescent="0.25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spans="1:26" ht="13.2" x14ac:dyDescent="0.25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spans="1:26" ht="13.2" x14ac:dyDescent="0.25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spans="1:26" ht="13.2" x14ac:dyDescent="0.2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spans="1:26" ht="13.2" x14ac:dyDescent="0.25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spans="1:26" ht="13.2" x14ac:dyDescent="0.25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spans="1:26" ht="13.2" x14ac:dyDescent="0.25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spans="1:26" ht="13.2" x14ac:dyDescent="0.25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spans="1:26" ht="13.2" x14ac:dyDescent="0.25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spans="1:26" ht="13.2" x14ac:dyDescent="0.25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spans="1:26" ht="13.2" x14ac:dyDescent="0.25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spans="1:26" ht="13.2" x14ac:dyDescent="0.25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spans="1:26" ht="13.2" x14ac:dyDescent="0.25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spans="1:26" ht="13.2" x14ac:dyDescent="0.2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spans="1:26" ht="13.2" x14ac:dyDescent="0.25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spans="1:26" ht="13.2" x14ac:dyDescent="0.25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spans="1:26" ht="13.2" x14ac:dyDescent="0.25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spans="1:26" ht="13.2" x14ac:dyDescent="0.25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spans="1:26" ht="13.2" x14ac:dyDescent="0.25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spans="1:26" ht="13.2" x14ac:dyDescent="0.25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spans="1:26" ht="13.2" x14ac:dyDescent="0.25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spans="1:26" ht="13.2" x14ac:dyDescent="0.25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spans="1:26" ht="13.2" x14ac:dyDescent="0.25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spans="1:26" ht="13.2" x14ac:dyDescent="0.2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spans="1:26" ht="13.2" x14ac:dyDescent="0.25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spans="1:26" ht="13.2" x14ac:dyDescent="0.25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spans="1:26" ht="13.2" x14ac:dyDescent="0.25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spans="1:26" ht="13.2" x14ac:dyDescent="0.25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spans="1:26" ht="13.2" x14ac:dyDescent="0.25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spans="1:26" ht="13.2" x14ac:dyDescent="0.25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spans="1:26" ht="13.2" x14ac:dyDescent="0.25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spans="1:26" ht="13.2" x14ac:dyDescent="0.25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spans="1:26" ht="13.2" x14ac:dyDescent="0.25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spans="1:26" ht="13.2" x14ac:dyDescent="0.2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spans="1:26" ht="13.2" x14ac:dyDescent="0.25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spans="1:26" ht="13.2" x14ac:dyDescent="0.25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spans="1:26" ht="13.2" x14ac:dyDescent="0.25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spans="1:26" ht="13.2" x14ac:dyDescent="0.25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spans="1:26" ht="13.2" x14ac:dyDescent="0.25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spans="1:26" ht="13.2" x14ac:dyDescent="0.25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spans="1:26" ht="13.2" x14ac:dyDescent="0.25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spans="1:26" ht="13.2" x14ac:dyDescent="0.25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spans="1:26" ht="13.2" x14ac:dyDescent="0.25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spans="1:26" ht="13.2" x14ac:dyDescent="0.2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spans="1:26" ht="13.2" x14ac:dyDescent="0.25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spans="1:26" ht="13.2" x14ac:dyDescent="0.25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spans="1:26" ht="13.2" x14ac:dyDescent="0.25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spans="1:26" ht="13.2" x14ac:dyDescent="0.25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spans="1:26" ht="13.2" x14ac:dyDescent="0.25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spans="1:26" ht="13.2" x14ac:dyDescent="0.25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spans="1:26" ht="13.2" x14ac:dyDescent="0.25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spans="1:26" ht="13.2" x14ac:dyDescent="0.25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spans="1:26" ht="13.2" x14ac:dyDescent="0.25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spans="1:26" ht="13.2" x14ac:dyDescent="0.2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spans="1:26" ht="13.2" x14ac:dyDescent="0.25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spans="1:26" ht="13.2" x14ac:dyDescent="0.25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spans="1:26" ht="13.2" x14ac:dyDescent="0.25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spans="1:26" ht="13.2" x14ac:dyDescent="0.25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 spans="1:26" ht="13.2" x14ac:dyDescent="0.25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  <row r="1001" spans="1:26" ht="13.2" x14ac:dyDescent="0.25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</row>
  </sheetData>
  <mergeCells count="13">
    <mergeCell ref="A43:B43"/>
    <mergeCell ref="A50:B50"/>
    <mergeCell ref="A53:B53"/>
    <mergeCell ref="A3:B3"/>
    <mergeCell ref="A4:B4"/>
    <mergeCell ref="A7:B7"/>
    <mergeCell ref="A8:B8"/>
    <mergeCell ref="A9:B9"/>
    <mergeCell ref="A12:C12"/>
    <mergeCell ref="A13:B13"/>
    <mergeCell ref="A22:B22"/>
    <mergeCell ref="A29:B29"/>
    <mergeCell ref="A36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V132"/>
  <sheetViews>
    <sheetView workbookViewId="0">
      <pane ySplit="4" topLeftCell="A6" activePane="bottomLeft" state="frozen"/>
      <selection pane="bottomLeft" activeCell="Q29" sqref="Q29"/>
    </sheetView>
  </sheetViews>
  <sheetFormatPr defaultColWidth="12.6640625" defaultRowHeight="15.75" customHeight="1" x14ac:dyDescent="0.25"/>
  <cols>
    <col min="1" max="1" width="7.44140625" style="142" customWidth="1"/>
    <col min="2" max="2" width="40" style="142" customWidth="1"/>
    <col min="3" max="3" width="14.109375" style="142" customWidth="1"/>
    <col min="4" max="4" width="14.21875" style="142" customWidth="1"/>
    <col min="5" max="6" width="14" style="142" customWidth="1"/>
    <col min="7" max="7" width="13.44140625" style="142" customWidth="1"/>
    <col min="8" max="8" width="14.88671875" style="142" customWidth="1"/>
    <col min="9" max="9" width="20" style="142" customWidth="1"/>
    <col min="10" max="11" width="14.6640625" style="142" customWidth="1"/>
    <col min="12" max="12" width="9.77734375" style="142" customWidth="1"/>
    <col min="13" max="13" width="32.77734375" style="142" customWidth="1"/>
    <col min="14" max="15" width="14.6640625" style="142" customWidth="1"/>
    <col min="16" max="16" width="11.77734375" style="142" customWidth="1"/>
    <col min="17" max="17" width="14.109375" style="142" customWidth="1"/>
    <col min="18" max="18" width="12.77734375" style="142" customWidth="1"/>
    <col min="19" max="19" width="15.6640625" style="142" customWidth="1"/>
    <col min="20" max="20" width="17.44140625" style="142" customWidth="1"/>
    <col min="21" max="21" width="11" style="142" customWidth="1"/>
    <col min="22" max="34" width="12.6640625" style="142"/>
    <col min="35" max="35" width="8.21875" style="142" customWidth="1"/>
    <col min="36" max="36" width="34.88671875" style="142" customWidth="1"/>
    <col min="37" max="16384" width="12.6640625" style="142"/>
  </cols>
  <sheetData>
    <row r="1" spans="1:48" ht="15" customHeight="1" x14ac:dyDescent="0.25">
      <c r="A1" s="181" t="s">
        <v>47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3"/>
      <c r="AR1" s="183"/>
      <c r="AS1" s="183"/>
      <c r="AT1" s="183"/>
      <c r="AU1" s="183"/>
      <c r="AV1" s="183"/>
    </row>
    <row r="2" spans="1:48" ht="15" customHeight="1" x14ac:dyDescent="0.2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3"/>
      <c r="AR2" s="183"/>
      <c r="AS2" s="183"/>
      <c r="AT2" s="183"/>
      <c r="AU2" s="183"/>
      <c r="AV2" s="183"/>
    </row>
    <row r="3" spans="1:48" ht="15" customHeight="1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3"/>
      <c r="AR3" s="183"/>
      <c r="AS3" s="183"/>
      <c r="AT3" s="183"/>
      <c r="AU3" s="183"/>
      <c r="AV3" s="183"/>
    </row>
    <row r="4" spans="1:48" ht="27" customHeight="1" x14ac:dyDescent="0.25">
      <c r="A4" s="184" t="s">
        <v>3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3"/>
      <c r="AR4" s="183"/>
      <c r="AS4" s="183"/>
      <c r="AT4" s="183"/>
      <c r="AU4" s="183"/>
      <c r="AV4" s="183"/>
    </row>
    <row r="5" spans="1:48" ht="27" customHeight="1" x14ac:dyDescent="0.25">
      <c r="A5" s="185"/>
      <c r="B5" s="186"/>
      <c r="C5" s="187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9"/>
      <c r="P5" s="189"/>
      <c r="Q5" s="189"/>
      <c r="R5" s="189"/>
      <c r="S5" s="189"/>
      <c r="T5" s="189"/>
      <c r="U5" s="189"/>
      <c r="V5" s="190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3"/>
      <c r="AR5" s="183"/>
      <c r="AS5" s="183"/>
      <c r="AT5" s="183"/>
      <c r="AU5" s="183"/>
      <c r="AV5" s="183"/>
    </row>
    <row r="6" spans="1:48" ht="27" customHeight="1" x14ac:dyDescent="0.25">
      <c r="A6" s="191" t="s">
        <v>48</v>
      </c>
      <c r="B6" s="157"/>
      <c r="C6" s="192"/>
      <c r="D6" s="190"/>
      <c r="E6" s="193"/>
      <c r="F6" s="182"/>
      <c r="G6" s="194"/>
      <c r="H6" s="194"/>
      <c r="I6" s="194"/>
      <c r="J6" s="183"/>
      <c r="K6" s="183"/>
      <c r="L6" s="183"/>
      <c r="M6" s="183"/>
      <c r="N6" s="183"/>
      <c r="O6" s="183"/>
      <c r="P6" s="194"/>
      <c r="Q6" s="182"/>
      <c r="R6" s="182"/>
      <c r="S6" s="182"/>
      <c r="T6" s="182"/>
      <c r="U6" s="182"/>
      <c r="V6" s="190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3"/>
      <c r="AR6" s="183"/>
      <c r="AS6" s="183"/>
      <c r="AT6" s="183"/>
      <c r="AU6" s="183"/>
      <c r="AV6" s="183"/>
    </row>
    <row r="7" spans="1:48" ht="27" customHeight="1" x14ac:dyDescent="0.25">
      <c r="A7" s="195" t="s">
        <v>49</v>
      </c>
      <c r="B7" s="196" t="s">
        <v>50</v>
      </c>
      <c r="C7" s="197" t="s">
        <v>1</v>
      </c>
      <c r="D7" s="197" t="s">
        <v>19</v>
      </c>
      <c r="E7" s="193"/>
      <c r="F7" s="182"/>
      <c r="G7" s="194"/>
      <c r="H7" s="194"/>
      <c r="I7" s="194"/>
      <c r="J7" s="183"/>
      <c r="K7" s="183"/>
      <c r="L7" s="183"/>
      <c r="M7" s="183"/>
      <c r="N7" s="183"/>
      <c r="O7" s="183"/>
      <c r="P7" s="194"/>
      <c r="Q7" s="182"/>
      <c r="R7" s="182"/>
      <c r="S7" s="182"/>
      <c r="T7" s="182"/>
      <c r="U7" s="182"/>
      <c r="V7" s="190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3"/>
      <c r="AR7" s="183"/>
      <c r="AS7" s="183"/>
      <c r="AT7" s="183"/>
      <c r="AU7" s="183"/>
      <c r="AV7" s="183"/>
    </row>
    <row r="8" spans="1:48" ht="27" customHeight="1" x14ac:dyDescent="0.25">
      <c r="A8" s="198">
        <v>2</v>
      </c>
      <c r="B8" s="199" t="s">
        <v>4</v>
      </c>
      <c r="C8" s="200"/>
      <c r="D8" s="200"/>
      <c r="E8" s="193"/>
      <c r="F8" s="182"/>
      <c r="G8" s="194"/>
      <c r="H8" s="194"/>
      <c r="I8" s="194"/>
      <c r="J8" s="183"/>
      <c r="K8" s="183"/>
      <c r="L8" s="183"/>
      <c r="M8" s="183"/>
      <c r="N8" s="183"/>
      <c r="O8" s="183"/>
      <c r="P8" s="194"/>
      <c r="Q8" s="182"/>
      <c r="R8" s="182"/>
      <c r="S8" s="182"/>
      <c r="T8" s="182"/>
      <c r="U8" s="182"/>
      <c r="V8" s="190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3"/>
      <c r="AR8" s="183"/>
      <c r="AS8" s="183"/>
      <c r="AT8" s="183"/>
      <c r="AU8" s="183"/>
      <c r="AV8" s="183"/>
    </row>
    <row r="9" spans="1:48" ht="27" customHeight="1" x14ac:dyDescent="0.25">
      <c r="A9" s="201">
        <v>2.1</v>
      </c>
      <c r="B9" s="202" t="s">
        <v>51</v>
      </c>
      <c r="C9" s="154"/>
      <c r="D9" s="154"/>
      <c r="E9" s="193"/>
      <c r="F9" s="182"/>
      <c r="G9" s="194"/>
      <c r="H9" s="194"/>
      <c r="I9" s="194"/>
      <c r="J9" s="183"/>
      <c r="K9" s="183"/>
      <c r="L9" s="183"/>
      <c r="M9" s="183"/>
      <c r="N9" s="183"/>
      <c r="O9" s="183"/>
      <c r="P9" s="194"/>
      <c r="Q9" s="182"/>
      <c r="R9" s="182"/>
      <c r="S9" s="182"/>
      <c r="T9" s="182"/>
      <c r="U9" s="182"/>
      <c r="V9" s="190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3"/>
      <c r="AR9" s="183"/>
      <c r="AS9" s="183"/>
      <c r="AT9" s="183"/>
      <c r="AU9" s="183"/>
      <c r="AV9" s="183"/>
    </row>
    <row r="10" spans="1:48" ht="27" customHeight="1" x14ac:dyDescent="0.25">
      <c r="A10" s="203"/>
      <c r="B10" s="204" t="s">
        <v>52</v>
      </c>
      <c r="C10" s="205"/>
      <c r="D10" s="205"/>
      <c r="E10" s="193"/>
      <c r="F10" s="182"/>
      <c r="G10" s="194"/>
      <c r="H10" s="194"/>
      <c r="I10" s="194"/>
      <c r="J10" s="183"/>
      <c r="K10" s="183"/>
      <c r="L10" s="183"/>
      <c r="M10" s="183"/>
      <c r="N10" s="183"/>
      <c r="O10" s="183"/>
      <c r="P10" s="194"/>
      <c r="Q10" s="182"/>
      <c r="R10" s="182"/>
      <c r="S10" s="182"/>
      <c r="T10" s="182"/>
      <c r="U10" s="182"/>
      <c r="V10" s="190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3"/>
      <c r="AR10" s="183"/>
      <c r="AS10" s="183"/>
      <c r="AT10" s="183"/>
      <c r="AU10" s="183"/>
      <c r="AV10" s="183"/>
    </row>
    <row r="11" spans="1:48" ht="27" customHeight="1" x14ac:dyDescent="0.25">
      <c r="A11" s="206"/>
      <c r="B11" s="204" t="s">
        <v>53</v>
      </c>
      <c r="C11" s="205"/>
      <c r="D11" s="205"/>
      <c r="E11" s="193"/>
      <c r="F11" s="182"/>
      <c r="G11" s="194"/>
      <c r="H11" s="194"/>
      <c r="I11" s="194"/>
      <c r="J11" s="183"/>
      <c r="K11" s="183"/>
      <c r="L11" s="183"/>
      <c r="M11" s="183"/>
      <c r="N11" s="183"/>
      <c r="O11" s="183"/>
      <c r="P11" s="194"/>
      <c r="Q11" s="182"/>
      <c r="R11" s="182"/>
      <c r="S11" s="182"/>
      <c r="T11" s="182"/>
      <c r="U11" s="182"/>
      <c r="V11" s="190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3"/>
      <c r="AR11" s="183"/>
      <c r="AS11" s="183"/>
      <c r="AT11" s="183"/>
      <c r="AU11" s="183"/>
      <c r="AV11" s="183"/>
    </row>
    <row r="12" spans="1:48" ht="27" customHeight="1" x14ac:dyDescent="0.25">
      <c r="A12" s="201">
        <v>2.2000000000000002</v>
      </c>
      <c r="B12" s="207" t="s">
        <v>54</v>
      </c>
      <c r="C12" s="154"/>
      <c r="D12" s="154"/>
      <c r="E12" s="193"/>
      <c r="F12" s="182"/>
      <c r="G12" s="194"/>
      <c r="H12" s="194"/>
      <c r="I12" s="194"/>
      <c r="J12" s="183"/>
      <c r="K12" s="183"/>
      <c r="L12" s="183"/>
      <c r="M12" s="183"/>
      <c r="N12" s="183"/>
      <c r="O12" s="183"/>
      <c r="P12" s="194"/>
      <c r="Q12" s="182"/>
      <c r="R12" s="182"/>
      <c r="S12" s="182"/>
      <c r="T12" s="182"/>
      <c r="U12" s="182"/>
      <c r="V12" s="190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3"/>
      <c r="AR12" s="183"/>
      <c r="AS12" s="183"/>
      <c r="AT12" s="183"/>
      <c r="AU12" s="183"/>
      <c r="AV12" s="183"/>
    </row>
    <row r="13" spans="1:48" ht="27" customHeight="1" x14ac:dyDescent="0.25">
      <c r="A13" s="203"/>
      <c r="B13" s="204" t="s">
        <v>52</v>
      </c>
      <c r="C13" s="205"/>
      <c r="D13" s="205"/>
      <c r="E13" s="193"/>
      <c r="F13" s="182"/>
      <c r="G13" s="194"/>
      <c r="H13" s="194"/>
      <c r="I13" s="194"/>
      <c r="J13" s="183"/>
      <c r="K13" s="183"/>
      <c r="L13" s="183"/>
      <c r="M13" s="183"/>
      <c r="N13" s="183"/>
      <c r="O13" s="183"/>
      <c r="P13" s="194"/>
      <c r="Q13" s="182"/>
      <c r="R13" s="182"/>
      <c r="S13" s="182"/>
      <c r="T13" s="182"/>
      <c r="U13" s="182"/>
      <c r="V13" s="190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3"/>
      <c r="AR13" s="183"/>
      <c r="AS13" s="183"/>
      <c r="AT13" s="183"/>
      <c r="AU13" s="183"/>
      <c r="AV13" s="183"/>
    </row>
    <row r="14" spans="1:48" ht="27" customHeight="1" x14ac:dyDescent="0.25">
      <c r="A14" s="206"/>
      <c r="B14" s="204" t="s">
        <v>53</v>
      </c>
      <c r="C14" s="205"/>
      <c r="D14" s="205"/>
      <c r="E14" s="193"/>
      <c r="F14" s="182"/>
      <c r="G14" s="194"/>
      <c r="H14" s="194"/>
      <c r="I14" s="194"/>
      <c r="J14" s="183"/>
      <c r="K14" s="183"/>
      <c r="L14" s="183"/>
      <c r="M14" s="183"/>
      <c r="N14" s="183"/>
      <c r="O14" s="183"/>
      <c r="P14" s="194"/>
      <c r="Q14" s="182"/>
      <c r="R14" s="182"/>
      <c r="S14" s="182"/>
      <c r="T14" s="182"/>
      <c r="U14" s="182"/>
      <c r="V14" s="190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3"/>
      <c r="AR14" s="183"/>
      <c r="AS14" s="183"/>
      <c r="AT14" s="183"/>
      <c r="AU14" s="183"/>
      <c r="AV14" s="183"/>
    </row>
    <row r="15" spans="1:48" ht="27" customHeight="1" x14ac:dyDescent="0.25">
      <c r="A15" s="201">
        <v>2.4</v>
      </c>
      <c r="B15" s="208" t="s">
        <v>55</v>
      </c>
      <c r="C15" s="154"/>
      <c r="D15" s="154"/>
      <c r="E15" s="193"/>
      <c r="F15" s="182"/>
      <c r="G15" s="194"/>
      <c r="H15" s="194"/>
      <c r="I15" s="194"/>
      <c r="J15" s="183"/>
      <c r="K15" s="183"/>
      <c r="L15" s="183"/>
      <c r="M15" s="183"/>
      <c r="N15" s="183"/>
      <c r="O15" s="183"/>
      <c r="P15" s="194"/>
      <c r="Q15" s="182"/>
      <c r="R15" s="182"/>
      <c r="S15" s="182"/>
      <c r="T15" s="182"/>
      <c r="U15" s="182"/>
      <c r="V15" s="190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3"/>
      <c r="AR15" s="183"/>
      <c r="AS15" s="183"/>
      <c r="AT15" s="183"/>
      <c r="AU15" s="183"/>
      <c r="AV15" s="183"/>
    </row>
    <row r="16" spans="1:48" ht="27" customHeight="1" x14ac:dyDescent="0.25">
      <c r="A16" s="203"/>
      <c r="B16" s="204" t="s">
        <v>52</v>
      </c>
      <c r="C16" s="205"/>
      <c r="D16" s="205"/>
      <c r="E16" s="193"/>
      <c r="F16" s="182"/>
      <c r="G16" s="194"/>
      <c r="H16" s="194"/>
      <c r="I16" s="194"/>
      <c r="J16" s="183"/>
      <c r="K16" s="183"/>
      <c r="L16" s="183"/>
      <c r="M16" s="183"/>
      <c r="N16" s="183"/>
      <c r="O16" s="183"/>
      <c r="P16" s="194"/>
      <c r="Q16" s="182"/>
      <c r="R16" s="182"/>
      <c r="S16" s="182"/>
      <c r="T16" s="182"/>
      <c r="U16" s="182"/>
      <c r="V16" s="190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3"/>
      <c r="AR16" s="183"/>
      <c r="AS16" s="183"/>
      <c r="AT16" s="183"/>
      <c r="AU16" s="183"/>
      <c r="AV16" s="183"/>
    </row>
    <row r="17" spans="1:48" ht="27" customHeight="1" x14ac:dyDescent="0.25">
      <c r="A17" s="206"/>
      <c r="B17" s="204" t="s">
        <v>53</v>
      </c>
      <c r="C17" s="205"/>
      <c r="D17" s="205"/>
      <c r="E17" s="193"/>
      <c r="F17" s="182"/>
      <c r="G17" s="194"/>
      <c r="H17" s="194"/>
      <c r="I17" s="194"/>
      <c r="J17" s="183"/>
      <c r="K17" s="183"/>
      <c r="L17" s="183"/>
      <c r="M17" s="183"/>
      <c r="N17" s="183"/>
      <c r="O17" s="183"/>
      <c r="P17" s="194"/>
      <c r="Q17" s="182"/>
      <c r="R17" s="182"/>
      <c r="S17" s="182"/>
      <c r="T17" s="182"/>
      <c r="U17" s="182"/>
      <c r="V17" s="190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3"/>
      <c r="AR17" s="183"/>
      <c r="AS17" s="183"/>
      <c r="AT17" s="183"/>
      <c r="AU17" s="183"/>
      <c r="AV17" s="183"/>
    </row>
    <row r="18" spans="1:48" ht="27" customHeight="1" x14ac:dyDescent="0.25">
      <c r="A18" s="201">
        <v>2.5</v>
      </c>
      <c r="B18" s="207" t="s">
        <v>56</v>
      </c>
      <c r="C18" s="154"/>
      <c r="D18" s="154"/>
      <c r="E18" s="193"/>
      <c r="F18" s="182"/>
      <c r="G18" s="194"/>
      <c r="H18" s="194"/>
      <c r="I18" s="194"/>
      <c r="J18" s="183"/>
      <c r="K18" s="183"/>
      <c r="L18" s="183"/>
      <c r="M18" s="183"/>
      <c r="N18" s="183"/>
      <c r="O18" s="183"/>
      <c r="P18" s="194"/>
      <c r="Q18" s="182"/>
      <c r="R18" s="182"/>
      <c r="S18" s="182"/>
      <c r="T18" s="182"/>
      <c r="U18" s="182"/>
      <c r="V18" s="190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3"/>
      <c r="AR18" s="183"/>
      <c r="AS18" s="183"/>
      <c r="AT18" s="183"/>
      <c r="AU18" s="183"/>
      <c r="AV18" s="183"/>
    </row>
    <row r="19" spans="1:48" ht="27" customHeight="1" x14ac:dyDescent="0.25">
      <c r="A19" s="203"/>
      <c r="B19" s="204" t="s">
        <v>52</v>
      </c>
      <c r="C19" s="205"/>
      <c r="D19" s="205"/>
      <c r="E19" s="193"/>
      <c r="F19" s="182"/>
      <c r="G19" s="194"/>
      <c r="H19" s="194"/>
      <c r="I19" s="194"/>
      <c r="J19" s="183"/>
      <c r="K19" s="183"/>
      <c r="L19" s="183"/>
      <c r="M19" s="183"/>
      <c r="N19" s="183"/>
      <c r="O19" s="183"/>
      <c r="P19" s="194"/>
      <c r="Q19" s="182"/>
      <c r="R19" s="182"/>
      <c r="S19" s="182"/>
      <c r="T19" s="182"/>
      <c r="U19" s="182"/>
      <c r="V19" s="190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3"/>
      <c r="AR19" s="183"/>
      <c r="AS19" s="183"/>
      <c r="AT19" s="183"/>
      <c r="AU19" s="183"/>
      <c r="AV19" s="183"/>
    </row>
    <row r="20" spans="1:48" ht="27" customHeight="1" x14ac:dyDescent="0.25">
      <c r="A20" s="206"/>
      <c r="B20" s="204" t="s">
        <v>53</v>
      </c>
      <c r="C20" s="205"/>
      <c r="D20" s="205"/>
      <c r="E20" s="193"/>
      <c r="F20" s="182"/>
      <c r="G20" s="194"/>
      <c r="H20" s="194"/>
      <c r="I20" s="194"/>
      <c r="J20" s="183"/>
      <c r="K20" s="183"/>
      <c r="L20" s="183"/>
      <c r="M20" s="183"/>
      <c r="N20" s="183"/>
      <c r="O20" s="183"/>
      <c r="P20" s="194"/>
      <c r="Q20" s="182"/>
      <c r="R20" s="182"/>
      <c r="S20" s="182"/>
      <c r="T20" s="182"/>
      <c r="U20" s="182"/>
      <c r="V20" s="190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3"/>
      <c r="AR20" s="183"/>
      <c r="AS20" s="183"/>
      <c r="AT20" s="183"/>
      <c r="AU20" s="183"/>
      <c r="AV20" s="183"/>
    </row>
    <row r="21" spans="1:48" ht="27" customHeight="1" x14ac:dyDescent="0.25">
      <c r="A21" s="209">
        <v>2.6</v>
      </c>
      <c r="B21" s="207" t="s">
        <v>14</v>
      </c>
      <c r="C21" s="154"/>
      <c r="D21" s="154"/>
      <c r="E21" s="193"/>
      <c r="F21" s="182"/>
      <c r="G21" s="194"/>
      <c r="H21" s="194"/>
      <c r="I21" s="194"/>
      <c r="J21" s="183"/>
      <c r="K21" s="183"/>
      <c r="L21" s="183"/>
      <c r="M21" s="183"/>
      <c r="N21" s="183"/>
      <c r="O21" s="183"/>
      <c r="P21" s="194"/>
      <c r="Q21" s="182"/>
      <c r="R21" s="182"/>
      <c r="S21" s="182"/>
      <c r="T21" s="182"/>
      <c r="U21" s="182"/>
      <c r="V21" s="190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3"/>
      <c r="AR21" s="183"/>
      <c r="AS21" s="183"/>
      <c r="AT21" s="183"/>
      <c r="AU21" s="183"/>
      <c r="AV21" s="183"/>
    </row>
    <row r="22" spans="1:48" ht="27" customHeight="1" x14ac:dyDescent="0.25">
      <c r="A22" s="210"/>
      <c r="B22" s="204" t="s">
        <v>52</v>
      </c>
      <c r="C22" s="205"/>
      <c r="D22" s="205"/>
      <c r="E22" s="193"/>
      <c r="F22" s="182"/>
      <c r="G22" s="194"/>
      <c r="H22" s="194"/>
      <c r="I22" s="194"/>
      <c r="J22" s="183"/>
      <c r="K22" s="183"/>
      <c r="L22" s="183"/>
      <c r="M22" s="183"/>
      <c r="N22" s="183"/>
      <c r="O22" s="183"/>
      <c r="P22" s="194"/>
      <c r="Q22" s="182"/>
      <c r="R22" s="182"/>
      <c r="S22" s="182"/>
      <c r="T22" s="182"/>
      <c r="U22" s="182"/>
      <c r="V22" s="190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3"/>
      <c r="AR22" s="183"/>
      <c r="AS22" s="183"/>
      <c r="AT22" s="183"/>
      <c r="AU22" s="183"/>
      <c r="AV22" s="183"/>
    </row>
    <row r="23" spans="1:48" ht="27" customHeight="1" x14ac:dyDescent="0.25">
      <c r="A23" s="210"/>
      <c r="B23" s="204" t="s">
        <v>53</v>
      </c>
      <c r="C23" s="205"/>
      <c r="D23" s="205"/>
      <c r="E23" s="193"/>
      <c r="F23" s="182"/>
      <c r="G23" s="194"/>
      <c r="H23" s="194"/>
      <c r="I23" s="194"/>
      <c r="J23" s="183"/>
      <c r="K23" s="183"/>
      <c r="L23" s="183"/>
      <c r="M23" s="183"/>
      <c r="N23" s="183"/>
      <c r="O23" s="183"/>
      <c r="P23" s="194"/>
      <c r="Q23" s="182"/>
      <c r="R23" s="182"/>
      <c r="S23" s="182"/>
      <c r="T23" s="182"/>
      <c r="U23" s="182"/>
      <c r="V23" s="190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3"/>
      <c r="AR23" s="183"/>
      <c r="AS23" s="183"/>
      <c r="AT23" s="183"/>
      <c r="AU23" s="183"/>
      <c r="AV23" s="183"/>
    </row>
    <row r="24" spans="1:48" ht="27" customHeight="1" x14ac:dyDescent="0.25">
      <c r="A24" s="201">
        <v>2.7</v>
      </c>
      <c r="B24" s="211" t="s">
        <v>15</v>
      </c>
      <c r="C24" s="212"/>
      <c r="D24" s="212"/>
      <c r="E24" s="193"/>
      <c r="F24" s="182"/>
      <c r="G24" s="194"/>
      <c r="H24" s="194"/>
      <c r="I24" s="194"/>
      <c r="J24" s="183"/>
      <c r="K24" s="183"/>
      <c r="L24" s="183"/>
      <c r="M24" s="183"/>
      <c r="N24" s="183"/>
      <c r="O24" s="183"/>
      <c r="P24" s="194"/>
      <c r="Q24" s="182"/>
      <c r="R24" s="182"/>
      <c r="S24" s="182"/>
      <c r="T24" s="182"/>
      <c r="U24" s="182"/>
      <c r="V24" s="190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3"/>
      <c r="AR24" s="183"/>
      <c r="AS24" s="183"/>
      <c r="AT24" s="183"/>
      <c r="AU24" s="183"/>
      <c r="AV24" s="183"/>
    </row>
    <row r="25" spans="1:48" ht="27" customHeight="1" x14ac:dyDescent="0.25">
      <c r="A25" s="203"/>
      <c r="B25" s="204" t="s">
        <v>52</v>
      </c>
      <c r="C25" s="212"/>
      <c r="D25" s="212"/>
      <c r="E25" s="193"/>
      <c r="F25" s="182"/>
      <c r="G25" s="194"/>
      <c r="H25" s="194"/>
      <c r="I25" s="194"/>
      <c r="J25" s="183"/>
      <c r="K25" s="183"/>
      <c r="L25" s="183"/>
      <c r="M25" s="183"/>
      <c r="N25" s="183"/>
      <c r="O25" s="183"/>
      <c r="P25" s="194"/>
      <c r="Q25" s="182"/>
      <c r="R25" s="182"/>
      <c r="S25" s="182"/>
      <c r="T25" s="182"/>
      <c r="U25" s="182"/>
      <c r="V25" s="190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3"/>
      <c r="AR25" s="183"/>
      <c r="AS25" s="183"/>
      <c r="AT25" s="183"/>
      <c r="AU25" s="183"/>
      <c r="AV25" s="183"/>
    </row>
    <row r="26" spans="1:48" ht="27" customHeight="1" x14ac:dyDescent="0.25">
      <c r="A26" s="203"/>
      <c r="B26" s="204" t="s">
        <v>53</v>
      </c>
      <c r="C26" s="212"/>
      <c r="D26" s="212"/>
      <c r="E26" s="193"/>
      <c r="F26" s="182"/>
      <c r="G26" s="194"/>
      <c r="H26" s="194"/>
      <c r="I26" s="194"/>
      <c r="J26" s="183"/>
      <c r="K26" s="183"/>
      <c r="L26" s="183"/>
      <c r="M26" s="183"/>
      <c r="N26" s="183"/>
      <c r="O26" s="183"/>
      <c r="P26" s="194"/>
      <c r="Q26" s="182"/>
      <c r="R26" s="182"/>
      <c r="S26" s="182"/>
      <c r="T26" s="182"/>
      <c r="U26" s="182"/>
      <c r="V26" s="190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3"/>
      <c r="AR26" s="183"/>
      <c r="AS26" s="183"/>
      <c r="AT26" s="183"/>
      <c r="AU26" s="183"/>
      <c r="AV26" s="183"/>
    </row>
    <row r="27" spans="1:48" ht="27" customHeight="1" x14ac:dyDescent="0.25">
      <c r="A27" s="201">
        <v>2.8</v>
      </c>
      <c r="B27" s="213" t="s">
        <v>7</v>
      </c>
      <c r="C27" s="214"/>
      <c r="D27" s="214"/>
      <c r="E27" s="193"/>
      <c r="F27" s="182"/>
      <c r="G27" s="194"/>
      <c r="H27" s="194"/>
      <c r="I27" s="194"/>
      <c r="J27" s="183"/>
      <c r="K27" s="183"/>
      <c r="L27" s="183"/>
      <c r="M27" s="183"/>
      <c r="N27" s="183"/>
      <c r="O27" s="183"/>
      <c r="P27" s="194"/>
      <c r="Q27" s="182"/>
      <c r="R27" s="182"/>
      <c r="S27" s="182"/>
      <c r="T27" s="182"/>
      <c r="U27" s="182"/>
      <c r="V27" s="190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3"/>
      <c r="AR27" s="183"/>
      <c r="AS27" s="183"/>
      <c r="AT27" s="183"/>
      <c r="AU27" s="183"/>
      <c r="AV27" s="183"/>
    </row>
    <row r="28" spans="1:48" ht="27" customHeight="1" x14ac:dyDescent="0.25">
      <c r="A28" s="203"/>
      <c r="B28" s="204" t="s">
        <v>52</v>
      </c>
      <c r="C28" s="205"/>
      <c r="D28" s="205"/>
      <c r="E28" s="193"/>
      <c r="F28" s="182"/>
      <c r="G28" s="194"/>
      <c r="H28" s="194"/>
      <c r="I28" s="194"/>
      <c r="J28" s="183"/>
      <c r="K28" s="183"/>
      <c r="L28" s="183"/>
      <c r="M28" s="183"/>
      <c r="N28" s="183"/>
      <c r="O28" s="183"/>
      <c r="P28" s="194"/>
      <c r="Q28" s="182"/>
      <c r="R28" s="182"/>
      <c r="S28" s="182"/>
      <c r="T28" s="182"/>
      <c r="U28" s="182"/>
      <c r="V28" s="190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3"/>
      <c r="AR28" s="183"/>
      <c r="AS28" s="183"/>
      <c r="AT28" s="183"/>
      <c r="AU28" s="183"/>
      <c r="AV28" s="183"/>
    </row>
    <row r="29" spans="1:48" ht="27" customHeight="1" x14ac:dyDescent="0.25">
      <c r="A29" s="215"/>
      <c r="B29" s="216" t="s">
        <v>53</v>
      </c>
      <c r="C29" s="217"/>
      <c r="D29" s="217"/>
      <c r="E29" s="193"/>
      <c r="F29" s="182"/>
      <c r="G29" s="194"/>
      <c r="H29" s="194"/>
      <c r="I29" s="194"/>
      <c r="J29" s="183"/>
      <c r="K29" s="183"/>
      <c r="L29" s="183"/>
      <c r="M29" s="183"/>
      <c r="N29" s="183"/>
      <c r="O29" s="183"/>
      <c r="P29" s="194"/>
      <c r="Q29" s="182"/>
      <c r="R29" s="182"/>
      <c r="S29" s="182"/>
      <c r="T29" s="182"/>
      <c r="U29" s="182"/>
      <c r="V29" s="190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3"/>
      <c r="AR29" s="183"/>
      <c r="AS29" s="183"/>
      <c r="AT29" s="183"/>
      <c r="AU29" s="183"/>
      <c r="AV29" s="183"/>
    </row>
    <row r="30" spans="1:48" ht="27" customHeight="1" x14ac:dyDescent="0.25">
      <c r="A30" s="182"/>
      <c r="B30" s="218"/>
      <c r="C30" s="219"/>
      <c r="D30" s="190"/>
      <c r="E30" s="193"/>
      <c r="F30" s="182"/>
      <c r="G30" s="194"/>
      <c r="H30" s="194"/>
      <c r="I30" s="194"/>
      <c r="J30" s="183"/>
      <c r="K30" s="183"/>
      <c r="L30" s="183"/>
      <c r="M30" s="183"/>
      <c r="N30" s="183"/>
      <c r="O30" s="183"/>
      <c r="P30" s="194"/>
      <c r="Q30" s="182"/>
      <c r="R30" s="182"/>
      <c r="S30" s="182"/>
      <c r="T30" s="182"/>
      <c r="U30" s="182"/>
      <c r="V30" s="190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3"/>
      <c r="AR30" s="183"/>
      <c r="AS30" s="183"/>
      <c r="AT30" s="183"/>
      <c r="AU30" s="183"/>
      <c r="AV30" s="183"/>
    </row>
    <row r="31" spans="1:48" ht="27" customHeight="1" x14ac:dyDescent="0.25">
      <c r="A31" s="182"/>
      <c r="B31" s="218"/>
      <c r="C31" s="219"/>
      <c r="D31" s="190"/>
      <c r="E31" s="193"/>
      <c r="F31" s="182"/>
      <c r="G31" s="194"/>
      <c r="H31" s="194"/>
      <c r="I31" s="194"/>
      <c r="J31" s="183"/>
      <c r="K31" s="183"/>
      <c r="L31" s="183"/>
      <c r="M31" s="183"/>
      <c r="N31" s="183"/>
      <c r="O31" s="183"/>
      <c r="P31" s="194"/>
      <c r="Q31" s="182"/>
      <c r="R31" s="182"/>
      <c r="S31" s="182"/>
      <c r="T31" s="182"/>
      <c r="U31" s="182"/>
      <c r="V31" s="190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3"/>
      <c r="AR31" s="183"/>
      <c r="AS31" s="183"/>
      <c r="AT31" s="183"/>
      <c r="AU31" s="183"/>
      <c r="AV31" s="183"/>
    </row>
    <row r="32" spans="1:48" ht="27" customHeight="1" x14ac:dyDescent="0.25">
      <c r="A32" s="220" t="s">
        <v>57</v>
      </c>
      <c r="B32" s="157"/>
      <c r="C32" s="157"/>
      <c r="D32" s="157"/>
      <c r="E32" s="157"/>
      <c r="F32" s="157"/>
      <c r="G32" s="221"/>
      <c r="H32" s="221"/>
      <c r="I32" s="221"/>
      <c r="J32" s="221"/>
      <c r="K32" s="183"/>
      <c r="L32" s="222"/>
      <c r="M32" s="222"/>
      <c r="N32" s="222"/>
      <c r="O32" s="223" t="s">
        <v>58</v>
      </c>
      <c r="P32" s="223"/>
      <c r="Q32" s="223"/>
      <c r="R32" s="223"/>
      <c r="S32" s="192"/>
      <c r="T32" s="192"/>
      <c r="U32" s="222"/>
      <c r="V32" s="224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3"/>
      <c r="AR32" s="183"/>
      <c r="AS32" s="183"/>
      <c r="AT32" s="183"/>
      <c r="AU32" s="183"/>
      <c r="AV32" s="183"/>
    </row>
    <row r="33" spans="1:48" ht="42" customHeight="1" x14ac:dyDescent="0.25">
      <c r="A33" s="225" t="s">
        <v>0</v>
      </c>
      <c r="B33" s="226" t="s">
        <v>59</v>
      </c>
      <c r="C33" s="226" t="s">
        <v>7</v>
      </c>
      <c r="D33" s="226" t="s">
        <v>60</v>
      </c>
      <c r="E33" s="227" t="s">
        <v>61</v>
      </c>
      <c r="F33" s="227" t="s">
        <v>62</v>
      </c>
      <c r="G33" s="227" t="s">
        <v>63</v>
      </c>
      <c r="H33" s="275" t="s">
        <v>234</v>
      </c>
      <c r="I33" s="275" t="s">
        <v>65</v>
      </c>
      <c r="J33" s="149" t="s">
        <v>66</v>
      </c>
      <c r="K33" s="183"/>
      <c r="L33" s="228" t="s">
        <v>0</v>
      </c>
      <c r="M33" s="162" t="s">
        <v>59</v>
      </c>
      <c r="N33" s="162" t="s">
        <v>7</v>
      </c>
      <c r="O33" s="128" t="s">
        <v>60</v>
      </c>
      <c r="P33" s="226" t="s">
        <v>61</v>
      </c>
      <c r="Q33" s="128" t="s">
        <v>62</v>
      </c>
      <c r="R33" s="128" t="s">
        <v>63</v>
      </c>
      <c r="S33" s="275" t="s">
        <v>234</v>
      </c>
      <c r="T33" s="275" t="s">
        <v>65</v>
      </c>
      <c r="U33" s="149" t="s">
        <v>66</v>
      </c>
      <c r="V33" s="22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3"/>
      <c r="AR33" s="183"/>
      <c r="AS33" s="183"/>
      <c r="AT33" s="183"/>
      <c r="AU33" s="183"/>
      <c r="AV33" s="183"/>
    </row>
    <row r="34" spans="1:48" ht="27" customHeight="1" x14ac:dyDescent="0.25">
      <c r="A34" s="229"/>
      <c r="B34" s="230"/>
      <c r="C34" s="231"/>
      <c r="D34" s="231"/>
      <c r="E34" s="231"/>
      <c r="F34" s="231"/>
      <c r="G34" s="231"/>
      <c r="H34" s="232"/>
      <c r="I34" s="232"/>
      <c r="J34" s="233"/>
      <c r="K34" s="183"/>
      <c r="L34" s="234"/>
      <c r="M34" s="235"/>
      <c r="N34" s="235"/>
      <c r="O34" s="235"/>
      <c r="P34" s="236"/>
      <c r="Q34" s="235"/>
      <c r="R34" s="235"/>
      <c r="S34" s="235"/>
      <c r="T34" s="235"/>
      <c r="U34" s="237"/>
      <c r="V34" s="22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3"/>
      <c r="AR34" s="183"/>
      <c r="AS34" s="183"/>
      <c r="AT34" s="183"/>
      <c r="AU34" s="183"/>
      <c r="AV34" s="183"/>
    </row>
    <row r="35" spans="1:48" ht="27" customHeight="1" x14ac:dyDescent="0.25">
      <c r="A35" s="238"/>
      <c r="B35" s="239"/>
      <c r="C35" s="240"/>
      <c r="D35" s="241"/>
      <c r="E35" s="241"/>
      <c r="F35" s="241"/>
      <c r="G35" s="241"/>
      <c r="H35" s="241"/>
      <c r="I35" s="241"/>
      <c r="J35" s="242"/>
      <c r="K35" s="183"/>
      <c r="L35" s="243"/>
      <c r="M35" s="244"/>
      <c r="N35" s="245"/>
      <c r="O35" s="245"/>
      <c r="P35" s="245"/>
      <c r="Q35" s="245"/>
      <c r="R35" s="245"/>
      <c r="S35" s="245"/>
      <c r="T35" s="245"/>
      <c r="U35" s="246"/>
      <c r="V35" s="22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3"/>
      <c r="AR35" s="183"/>
      <c r="AS35" s="183"/>
      <c r="AT35" s="183"/>
      <c r="AU35" s="183"/>
      <c r="AV35" s="183"/>
    </row>
    <row r="36" spans="1:48" ht="27" customHeight="1" x14ac:dyDescent="0.25">
      <c r="A36" s="247"/>
      <c r="B36" s="248"/>
      <c r="C36" s="249"/>
      <c r="D36" s="249"/>
      <c r="E36" s="249"/>
      <c r="F36" s="249"/>
      <c r="G36" s="249"/>
      <c r="H36" s="249"/>
      <c r="I36" s="249"/>
      <c r="J36" s="250"/>
      <c r="K36" s="183"/>
      <c r="L36" s="251"/>
      <c r="M36" s="252"/>
      <c r="N36" s="249"/>
      <c r="O36" s="249"/>
      <c r="P36" s="249"/>
      <c r="Q36" s="249"/>
      <c r="R36" s="253"/>
      <c r="S36" s="253"/>
      <c r="T36" s="253"/>
      <c r="U36" s="254"/>
      <c r="V36" s="22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3"/>
      <c r="AR36" s="183"/>
      <c r="AS36" s="183"/>
      <c r="AT36" s="183"/>
      <c r="AU36" s="183"/>
      <c r="AV36" s="183"/>
    </row>
    <row r="37" spans="1:48" ht="27" customHeight="1" x14ac:dyDescent="0.25">
      <c r="A37" s="247"/>
      <c r="B37" s="248"/>
      <c r="C37" s="249"/>
      <c r="D37" s="249"/>
      <c r="E37" s="249"/>
      <c r="F37" s="249"/>
      <c r="G37" s="249"/>
      <c r="H37" s="249"/>
      <c r="I37" s="249"/>
      <c r="J37" s="250"/>
      <c r="K37" s="183"/>
      <c r="L37" s="251"/>
      <c r="M37" s="252"/>
      <c r="N37" s="249"/>
      <c r="O37" s="249"/>
      <c r="P37" s="249"/>
      <c r="Q37" s="249"/>
      <c r="R37" s="249"/>
      <c r="S37" s="249"/>
      <c r="T37" s="249"/>
      <c r="U37" s="255"/>
      <c r="V37" s="22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3"/>
      <c r="AR37" s="183"/>
      <c r="AS37" s="183"/>
      <c r="AT37" s="183"/>
      <c r="AU37" s="183"/>
      <c r="AV37" s="183"/>
    </row>
    <row r="38" spans="1:48" ht="27" customHeight="1" x14ac:dyDescent="0.25">
      <c r="A38" s="251"/>
      <c r="B38" s="252"/>
      <c r="C38" s="249"/>
      <c r="D38" s="249"/>
      <c r="E38" s="249"/>
      <c r="F38" s="249"/>
      <c r="G38" s="249"/>
      <c r="H38" s="249"/>
      <c r="I38" s="249"/>
      <c r="J38" s="250"/>
      <c r="K38" s="183"/>
      <c r="L38" s="251"/>
      <c r="M38" s="252"/>
      <c r="N38" s="249"/>
      <c r="O38" s="249"/>
      <c r="P38" s="249"/>
      <c r="Q38" s="249"/>
      <c r="R38" s="249"/>
      <c r="S38" s="249"/>
      <c r="T38" s="249"/>
      <c r="U38" s="255"/>
      <c r="V38" s="221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3"/>
      <c r="AR38" s="183"/>
      <c r="AS38" s="183"/>
      <c r="AT38" s="183"/>
      <c r="AU38" s="183"/>
      <c r="AV38" s="183"/>
    </row>
    <row r="39" spans="1:48" ht="27" customHeight="1" x14ac:dyDescent="0.25">
      <c r="A39" s="251"/>
      <c r="B39" s="256"/>
      <c r="C39" s="249"/>
      <c r="D39" s="249"/>
      <c r="E39" s="249"/>
      <c r="F39" s="249"/>
      <c r="G39" s="249"/>
      <c r="H39" s="249"/>
      <c r="I39" s="249"/>
      <c r="J39" s="257"/>
      <c r="K39" s="183"/>
      <c r="L39" s="251"/>
      <c r="M39" s="252"/>
      <c r="N39" s="249"/>
      <c r="O39" s="249"/>
      <c r="P39" s="249"/>
      <c r="Q39" s="249"/>
      <c r="R39" s="249"/>
      <c r="S39" s="249"/>
      <c r="T39" s="249"/>
      <c r="U39" s="255"/>
      <c r="V39" s="221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3"/>
      <c r="AR39" s="183"/>
      <c r="AS39" s="183"/>
      <c r="AT39" s="183"/>
      <c r="AU39" s="183"/>
      <c r="AV39" s="183"/>
    </row>
    <row r="40" spans="1:48" ht="27" customHeight="1" x14ac:dyDescent="0.25">
      <c r="A40" s="251"/>
      <c r="B40" s="256"/>
      <c r="C40" s="249"/>
      <c r="D40" s="249"/>
      <c r="E40" s="249"/>
      <c r="F40" s="249"/>
      <c r="G40" s="249"/>
      <c r="H40" s="249"/>
      <c r="I40" s="249"/>
      <c r="J40" s="257"/>
      <c r="K40" s="183"/>
      <c r="L40" s="251"/>
      <c r="M40" s="252"/>
      <c r="N40" s="249"/>
      <c r="O40" s="249"/>
      <c r="P40" s="249"/>
      <c r="Q40" s="249"/>
      <c r="R40" s="249"/>
      <c r="S40" s="249"/>
      <c r="T40" s="249"/>
      <c r="U40" s="255"/>
      <c r="V40" s="22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3"/>
      <c r="AR40" s="183"/>
      <c r="AS40" s="183"/>
      <c r="AT40" s="183"/>
      <c r="AU40" s="183"/>
      <c r="AV40" s="183"/>
    </row>
    <row r="41" spans="1:48" ht="27" customHeight="1" x14ac:dyDescent="0.25">
      <c r="A41" s="251"/>
      <c r="B41" s="256"/>
      <c r="C41" s="249"/>
      <c r="D41" s="249"/>
      <c r="E41" s="249"/>
      <c r="F41" s="249"/>
      <c r="G41" s="249"/>
      <c r="H41" s="249"/>
      <c r="I41" s="249"/>
      <c r="J41" s="257"/>
      <c r="K41" s="183"/>
      <c r="L41" s="251"/>
      <c r="M41" s="256"/>
      <c r="N41" s="249"/>
      <c r="O41" s="253"/>
      <c r="P41" s="253"/>
      <c r="Q41" s="253"/>
      <c r="R41" s="253"/>
      <c r="S41" s="253"/>
      <c r="T41" s="253"/>
      <c r="U41" s="258"/>
      <c r="V41" s="22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3"/>
      <c r="AR41" s="183"/>
      <c r="AS41" s="183"/>
      <c r="AT41" s="183"/>
      <c r="AU41" s="183"/>
      <c r="AV41" s="183"/>
    </row>
    <row r="42" spans="1:48" ht="27" customHeight="1" x14ac:dyDescent="0.25">
      <c r="A42" s="251"/>
      <c r="B42" s="256"/>
      <c r="C42" s="249"/>
      <c r="D42" s="249"/>
      <c r="E42" s="249"/>
      <c r="F42" s="249"/>
      <c r="G42" s="249"/>
      <c r="H42" s="249"/>
      <c r="I42" s="249"/>
      <c r="J42" s="257"/>
      <c r="K42" s="183"/>
      <c r="L42" s="251"/>
      <c r="M42" s="256"/>
      <c r="N42" s="249"/>
      <c r="O42" s="249"/>
      <c r="P42" s="249"/>
      <c r="Q42" s="259"/>
      <c r="R42" s="259"/>
      <c r="S42" s="259"/>
      <c r="T42" s="259"/>
      <c r="U42" s="260"/>
      <c r="V42" s="22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3"/>
      <c r="AR42" s="183"/>
      <c r="AS42" s="183"/>
      <c r="AT42" s="183"/>
      <c r="AU42" s="183"/>
      <c r="AV42" s="183"/>
    </row>
    <row r="43" spans="1:48" ht="27" customHeight="1" x14ac:dyDescent="0.25">
      <c r="A43" s="251"/>
      <c r="B43" s="256"/>
      <c r="C43" s="249"/>
      <c r="D43" s="249"/>
      <c r="E43" s="249"/>
      <c r="F43" s="249"/>
      <c r="G43" s="249"/>
      <c r="H43" s="249"/>
      <c r="I43" s="249"/>
      <c r="J43" s="257"/>
      <c r="K43" s="183"/>
      <c r="L43" s="251"/>
      <c r="M43" s="256"/>
      <c r="N43" s="249"/>
      <c r="O43" s="249"/>
      <c r="P43" s="249"/>
      <c r="Q43" s="261"/>
      <c r="R43" s="261"/>
      <c r="S43" s="261"/>
      <c r="T43" s="261"/>
      <c r="U43" s="258"/>
      <c r="V43" s="22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3"/>
      <c r="AR43" s="183"/>
      <c r="AS43" s="183"/>
      <c r="AT43" s="183"/>
      <c r="AU43" s="183"/>
      <c r="AV43" s="183"/>
    </row>
    <row r="44" spans="1:48" ht="27" customHeight="1" x14ac:dyDescent="0.25">
      <c r="A44" s="251"/>
      <c r="B44" s="256"/>
      <c r="C44" s="249"/>
      <c r="D44" s="249"/>
      <c r="E44" s="249"/>
      <c r="F44" s="249"/>
      <c r="G44" s="249"/>
      <c r="H44" s="249"/>
      <c r="I44" s="249"/>
      <c r="J44" s="257"/>
      <c r="K44" s="183"/>
      <c r="L44" s="251"/>
      <c r="M44" s="256"/>
      <c r="N44" s="261"/>
      <c r="O44" s="253"/>
      <c r="P44" s="253"/>
      <c r="Q44" s="253"/>
      <c r="R44" s="253"/>
      <c r="S44" s="253"/>
      <c r="T44" s="253"/>
      <c r="U44" s="254"/>
      <c r="V44" s="22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3"/>
      <c r="AR44" s="183"/>
      <c r="AS44" s="183"/>
      <c r="AT44" s="183"/>
      <c r="AU44" s="183"/>
      <c r="AV44" s="183"/>
    </row>
    <row r="45" spans="1:48" ht="27" customHeight="1" x14ac:dyDescent="0.25">
      <c r="A45" s="251"/>
      <c r="B45" s="256"/>
      <c r="C45" s="249"/>
      <c r="D45" s="249"/>
      <c r="E45" s="249"/>
      <c r="F45" s="249"/>
      <c r="G45" s="249"/>
      <c r="H45" s="249"/>
      <c r="I45" s="249"/>
      <c r="J45" s="257"/>
      <c r="K45" s="183"/>
      <c r="L45" s="251"/>
      <c r="M45" s="256"/>
      <c r="N45" s="249"/>
      <c r="O45" s="249"/>
      <c r="P45" s="249"/>
      <c r="Q45" s="249"/>
      <c r="R45" s="261"/>
      <c r="S45" s="261"/>
      <c r="T45" s="261"/>
      <c r="U45" s="258"/>
      <c r="V45" s="26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3"/>
      <c r="AR45" s="183"/>
      <c r="AS45" s="183"/>
      <c r="AT45" s="183"/>
      <c r="AU45" s="183"/>
      <c r="AV45" s="183"/>
    </row>
    <row r="46" spans="1:48" ht="27" customHeight="1" x14ac:dyDescent="0.25">
      <c r="A46" s="251"/>
      <c r="B46" s="256"/>
      <c r="C46" s="249"/>
      <c r="D46" s="249"/>
      <c r="E46" s="249"/>
      <c r="F46" s="249"/>
      <c r="G46" s="249"/>
      <c r="H46" s="249"/>
      <c r="I46" s="249"/>
      <c r="J46" s="257"/>
      <c r="K46" s="183"/>
      <c r="L46" s="251"/>
      <c r="M46" s="256"/>
      <c r="N46" s="249"/>
      <c r="O46" s="249"/>
      <c r="P46" s="249"/>
      <c r="Q46" s="249"/>
      <c r="R46" s="249"/>
      <c r="S46" s="249"/>
      <c r="T46" s="249"/>
      <c r="U46" s="255"/>
      <c r="V46" s="259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3"/>
      <c r="AR46" s="183"/>
      <c r="AS46" s="183"/>
      <c r="AT46" s="183"/>
      <c r="AU46" s="183"/>
      <c r="AV46" s="183"/>
    </row>
    <row r="47" spans="1:48" ht="27" customHeight="1" x14ac:dyDescent="0.25">
      <c r="A47" s="251"/>
      <c r="B47" s="256"/>
      <c r="C47" s="249"/>
      <c r="D47" s="249"/>
      <c r="E47" s="249"/>
      <c r="F47" s="249"/>
      <c r="G47" s="249"/>
      <c r="H47" s="249"/>
      <c r="I47" s="249"/>
      <c r="J47" s="263"/>
      <c r="K47" s="183"/>
      <c r="L47" s="251"/>
      <c r="M47" s="256"/>
      <c r="N47" s="249"/>
      <c r="O47" s="249"/>
      <c r="P47" s="249"/>
      <c r="Q47" s="249"/>
      <c r="R47" s="249"/>
      <c r="S47" s="249"/>
      <c r="T47" s="249"/>
      <c r="U47" s="255"/>
      <c r="V47" s="264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3"/>
      <c r="AR47" s="183"/>
      <c r="AS47" s="183"/>
      <c r="AT47" s="183"/>
      <c r="AU47" s="183"/>
      <c r="AV47" s="183"/>
    </row>
    <row r="48" spans="1:48" ht="27" customHeight="1" x14ac:dyDescent="0.25">
      <c r="A48" s="251"/>
      <c r="B48" s="256"/>
      <c r="C48" s="249"/>
      <c r="D48" s="249"/>
      <c r="E48" s="249"/>
      <c r="F48" s="249"/>
      <c r="G48" s="249"/>
      <c r="H48" s="249"/>
      <c r="I48" s="221"/>
      <c r="J48" s="265"/>
      <c r="K48" s="183"/>
      <c r="L48" s="251"/>
      <c r="M48" s="256"/>
      <c r="N48" s="249"/>
      <c r="O48" s="249"/>
      <c r="P48" s="249"/>
      <c r="Q48" s="249"/>
      <c r="R48" s="249"/>
      <c r="S48" s="249"/>
      <c r="T48" s="249"/>
      <c r="U48" s="255"/>
      <c r="V48" s="266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3"/>
      <c r="AR48" s="183"/>
      <c r="AS48" s="183"/>
      <c r="AT48" s="183"/>
      <c r="AU48" s="183"/>
      <c r="AV48" s="183"/>
    </row>
    <row r="49" spans="1:48" ht="27" customHeight="1" x14ac:dyDescent="0.25">
      <c r="A49" s="251"/>
      <c r="B49" s="256"/>
      <c r="C49" s="249"/>
      <c r="D49" s="249"/>
      <c r="E49" s="249"/>
      <c r="F49" s="249"/>
      <c r="G49" s="249"/>
      <c r="H49" s="249"/>
      <c r="I49" s="249"/>
      <c r="J49" s="265"/>
      <c r="K49" s="183"/>
      <c r="L49" s="251"/>
      <c r="M49" s="256"/>
      <c r="N49" s="249"/>
      <c r="O49" s="249"/>
      <c r="P49" s="249"/>
      <c r="Q49" s="249"/>
      <c r="R49" s="249"/>
      <c r="S49" s="249"/>
      <c r="T49" s="249"/>
      <c r="U49" s="255"/>
      <c r="V49" s="267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3"/>
      <c r="AR49" s="183"/>
      <c r="AS49" s="183"/>
      <c r="AT49" s="183"/>
      <c r="AU49" s="183"/>
      <c r="AV49" s="183"/>
    </row>
    <row r="50" spans="1:48" ht="27" customHeight="1" x14ac:dyDescent="0.25">
      <c r="A50" s="251"/>
      <c r="B50" s="256"/>
      <c r="C50" s="249"/>
      <c r="D50" s="249"/>
      <c r="E50" s="249"/>
      <c r="F50" s="249"/>
      <c r="G50" s="249"/>
      <c r="H50" s="249"/>
      <c r="I50" s="221"/>
      <c r="J50" s="265"/>
      <c r="K50" s="183"/>
      <c r="L50" s="268"/>
      <c r="M50" s="269"/>
      <c r="N50" s="270"/>
      <c r="O50" s="270"/>
      <c r="P50" s="270"/>
      <c r="Q50" s="270"/>
      <c r="R50" s="270"/>
      <c r="S50" s="270"/>
      <c r="T50" s="270"/>
      <c r="U50" s="174"/>
      <c r="V50" s="256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3"/>
      <c r="AR50" s="183"/>
      <c r="AS50" s="183"/>
      <c r="AT50" s="183"/>
      <c r="AU50" s="183"/>
      <c r="AV50" s="183"/>
    </row>
    <row r="51" spans="1:48" ht="27" customHeight="1" x14ac:dyDescent="0.25">
      <c r="A51" s="251"/>
      <c r="B51" s="256"/>
      <c r="C51" s="249"/>
      <c r="D51" s="249"/>
      <c r="E51" s="249"/>
      <c r="F51" s="249"/>
      <c r="G51" s="249"/>
      <c r="H51" s="249"/>
      <c r="I51" s="221"/>
      <c r="J51" s="265"/>
      <c r="K51" s="183"/>
      <c r="L51" s="183"/>
      <c r="M51" s="183"/>
      <c r="N51" s="183"/>
      <c r="O51" s="183"/>
      <c r="P51" s="194"/>
      <c r="Q51" s="182"/>
      <c r="R51" s="182"/>
      <c r="S51" s="182"/>
      <c r="T51" s="182"/>
      <c r="U51" s="182"/>
      <c r="V51" s="190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3"/>
      <c r="AR51" s="183"/>
      <c r="AS51" s="183"/>
      <c r="AT51" s="183"/>
      <c r="AU51" s="183"/>
      <c r="AV51" s="183"/>
    </row>
    <row r="52" spans="1:48" ht="27" customHeight="1" x14ac:dyDescent="0.25">
      <c r="A52" s="251"/>
      <c r="B52" s="256"/>
      <c r="C52" s="249"/>
      <c r="D52" s="249"/>
      <c r="E52" s="249"/>
      <c r="F52" s="249"/>
      <c r="G52" s="249"/>
      <c r="H52" s="249"/>
      <c r="I52" s="249"/>
      <c r="J52" s="265"/>
      <c r="K52" s="183"/>
      <c r="L52" s="183"/>
      <c r="M52" s="183"/>
      <c r="N52" s="183"/>
      <c r="O52" s="183"/>
      <c r="P52" s="194"/>
      <c r="Q52" s="182"/>
      <c r="R52" s="182"/>
      <c r="S52" s="182"/>
      <c r="T52" s="182"/>
      <c r="U52" s="182"/>
      <c r="V52" s="190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3"/>
      <c r="AR52" s="183"/>
      <c r="AS52" s="183"/>
      <c r="AT52" s="183"/>
      <c r="AU52" s="183"/>
      <c r="AV52" s="183"/>
    </row>
    <row r="53" spans="1:48" ht="27" customHeight="1" x14ac:dyDescent="0.25">
      <c r="A53" s="251"/>
      <c r="B53" s="256"/>
      <c r="C53" s="249"/>
      <c r="D53" s="249"/>
      <c r="E53" s="249"/>
      <c r="F53" s="249"/>
      <c r="G53" s="249"/>
      <c r="H53" s="249"/>
      <c r="I53" s="221"/>
      <c r="J53" s="265"/>
      <c r="K53" s="183"/>
      <c r="L53" s="183"/>
      <c r="M53" s="183"/>
      <c r="N53" s="183"/>
      <c r="O53" s="183"/>
      <c r="P53" s="194"/>
      <c r="Q53" s="182"/>
      <c r="R53" s="182"/>
      <c r="S53" s="182"/>
      <c r="T53" s="182"/>
      <c r="U53" s="182"/>
      <c r="V53" s="190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3"/>
      <c r="AR53" s="183"/>
      <c r="AS53" s="183"/>
      <c r="AT53" s="183"/>
      <c r="AU53" s="183"/>
      <c r="AV53" s="183"/>
    </row>
    <row r="54" spans="1:48" ht="27" customHeight="1" x14ac:dyDescent="0.25">
      <c r="A54" s="251"/>
      <c r="B54" s="256"/>
      <c r="C54" s="249"/>
      <c r="D54" s="249"/>
      <c r="E54" s="249"/>
      <c r="F54" s="249"/>
      <c r="G54" s="249"/>
      <c r="H54" s="249"/>
      <c r="I54" s="221"/>
      <c r="J54" s="265"/>
      <c r="K54" s="183"/>
      <c r="L54" s="183"/>
      <c r="M54" s="183"/>
      <c r="N54" s="183"/>
      <c r="O54" s="183"/>
      <c r="P54" s="194"/>
      <c r="Q54" s="182"/>
      <c r="R54" s="182"/>
      <c r="S54" s="182"/>
      <c r="T54" s="182"/>
      <c r="U54" s="182"/>
      <c r="V54" s="190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3"/>
      <c r="AR54" s="183"/>
      <c r="AS54" s="183"/>
      <c r="AT54" s="183"/>
      <c r="AU54" s="183"/>
      <c r="AV54" s="183"/>
    </row>
    <row r="55" spans="1:48" ht="27" customHeight="1" x14ac:dyDescent="0.25">
      <c r="A55" s="251"/>
      <c r="B55" s="256"/>
      <c r="C55" s="249"/>
      <c r="D55" s="249"/>
      <c r="E55" s="249"/>
      <c r="F55" s="249"/>
      <c r="G55" s="249"/>
      <c r="H55" s="249"/>
      <c r="I55" s="249"/>
      <c r="J55" s="265"/>
      <c r="K55" s="183"/>
      <c r="L55" s="183"/>
      <c r="M55" s="183"/>
      <c r="N55" s="183"/>
      <c r="O55" s="183"/>
      <c r="P55" s="194"/>
      <c r="Q55" s="182"/>
      <c r="R55" s="182"/>
      <c r="S55" s="182"/>
      <c r="T55" s="182"/>
      <c r="U55" s="182"/>
      <c r="V55" s="190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3"/>
      <c r="AR55" s="183"/>
      <c r="AS55" s="183"/>
      <c r="AT55" s="183"/>
      <c r="AU55" s="183"/>
      <c r="AV55" s="183"/>
    </row>
    <row r="56" spans="1:48" ht="27" customHeight="1" x14ac:dyDescent="0.25">
      <c r="A56" s="251"/>
      <c r="B56" s="256"/>
      <c r="C56" s="249"/>
      <c r="D56" s="249"/>
      <c r="E56" s="249"/>
      <c r="F56" s="249"/>
      <c r="G56" s="249"/>
      <c r="H56" s="249"/>
      <c r="I56" s="249"/>
      <c r="J56" s="265"/>
      <c r="K56" s="183"/>
      <c r="L56" s="183"/>
      <c r="M56" s="183"/>
      <c r="N56" s="183"/>
      <c r="O56" s="183"/>
      <c r="P56" s="194"/>
      <c r="Q56" s="182"/>
      <c r="R56" s="182"/>
      <c r="S56" s="182"/>
      <c r="T56" s="182"/>
      <c r="U56" s="182"/>
      <c r="V56" s="190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3"/>
      <c r="AR56" s="183"/>
      <c r="AS56" s="183"/>
      <c r="AT56" s="183"/>
      <c r="AU56" s="183"/>
      <c r="AV56" s="183"/>
    </row>
    <row r="57" spans="1:48" ht="27" customHeight="1" x14ac:dyDescent="0.25">
      <c r="A57" s="251"/>
      <c r="B57" s="256"/>
      <c r="C57" s="249"/>
      <c r="D57" s="249"/>
      <c r="E57" s="249"/>
      <c r="F57" s="249"/>
      <c r="G57" s="249"/>
      <c r="H57" s="249"/>
      <c r="I57" s="249"/>
      <c r="J57" s="265"/>
      <c r="K57" s="183"/>
      <c r="L57" s="183"/>
      <c r="M57" s="183"/>
      <c r="N57" s="183"/>
      <c r="O57" s="183"/>
      <c r="P57" s="194"/>
      <c r="Q57" s="182"/>
      <c r="R57" s="182"/>
      <c r="S57" s="182"/>
      <c r="T57" s="182"/>
      <c r="U57" s="182"/>
      <c r="V57" s="190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3"/>
      <c r="AR57" s="183"/>
      <c r="AS57" s="183"/>
      <c r="AT57" s="183"/>
      <c r="AU57" s="183"/>
      <c r="AV57" s="183"/>
    </row>
    <row r="58" spans="1:48" ht="27" customHeight="1" x14ac:dyDescent="0.25">
      <c r="A58" s="251"/>
      <c r="B58" s="256"/>
      <c r="C58" s="249"/>
      <c r="D58" s="249"/>
      <c r="E58" s="249"/>
      <c r="F58" s="249"/>
      <c r="G58" s="249"/>
      <c r="H58" s="249"/>
      <c r="I58" s="249"/>
      <c r="J58" s="265"/>
      <c r="K58" s="183"/>
      <c r="L58" s="183"/>
      <c r="M58" s="183"/>
      <c r="N58" s="183"/>
      <c r="O58" s="183"/>
      <c r="P58" s="194"/>
      <c r="Q58" s="182"/>
      <c r="R58" s="182"/>
      <c r="S58" s="182"/>
      <c r="T58" s="182"/>
      <c r="U58" s="182"/>
      <c r="V58" s="190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3"/>
      <c r="AR58" s="183"/>
      <c r="AS58" s="183"/>
      <c r="AT58" s="183"/>
      <c r="AU58" s="183"/>
      <c r="AV58" s="183"/>
    </row>
    <row r="59" spans="1:48" ht="27" customHeight="1" x14ac:dyDescent="0.25">
      <c r="A59" s="251"/>
      <c r="B59" s="256"/>
      <c r="C59" s="249"/>
      <c r="D59" s="249"/>
      <c r="E59" s="249"/>
      <c r="F59" s="249"/>
      <c r="G59" s="249"/>
      <c r="H59" s="249"/>
      <c r="I59" s="249"/>
      <c r="J59" s="265"/>
      <c r="K59" s="183"/>
      <c r="L59" s="183"/>
      <c r="M59" s="183"/>
      <c r="N59" s="183"/>
      <c r="O59" s="183"/>
      <c r="P59" s="194"/>
      <c r="Q59" s="182"/>
      <c r="R59" s="182"/>
      <c r="S59" s="182"/>
      <c r="T59" s="182"/>
      <c r="U59" s="182"/>
      <c r="V59" s="190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3"/>
      <c r="AR59" s="183"/>
      <c r="AS59" s="183"/>
      <c r="AT59" s="183"/>
      <c r="AU59" s="183"/>
      <c r="AV59" s="183"/>
    </row>
    <row r="60" spans="1:48" ht="27" customHeight="1" x14ac:dyDescent="0.25">
      <c r="A60" s="251"/>
      <c r="B60" s="256"/>
      <c r="C60" s="249"/>
      <c r="D60" s="249"/>
      <c r="E60" s="249"/>
      <c r="F60" s="249"/>
      <c r="G60" s="249"/>
      <c r="H60" s="249"/>
      <c r="I60" s="249"/>
      <c r="J60" s="265"/>
      <c r="K60" s="183"/>
      <c r="L60" s="183"/>
      <c r="M60" s="183"/>
      <c r="N60" s="183"/>
      <c r="O60" s="183"/>
      <c r="P60" s="194"/>
      <c r="Q60" s="182"/>
      <c r="R60" s="182"/>
      <c r="S60" s="182"/>
      <c r="T60" s="182"/>
      <c r="U60" s="182"/>
      <c r="V60" s="190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3"/>
      <c r="AR60" s="183"/>
      <c r="AS60" s="183"/>
      <c r="AT60" s="183"/>
      <c r="AU60" s="183"/>
      <c r="AV60" s="183"/>
    </row>
    <row r="61" spans="1:48" ht="27" customHeight="1" x14ac:dyDescent="0.25">
      <c r="A61" s="251"/>
      <c r="B61" s="256"/>
      <c r="C61" s="249"/>
      <c r="D61" s="249"/>
      <c r="E61" s="249"/>
      <c r="F61" s="249"/>
      <c r="G61" s="249"/>
      <c r="H61" s="249"/>
      <c r="I61" s="249"/>
      <c r="J61" s="265"/>
      <c r="K61" s="183"/>
      <c r="L61" s="183"/>
      <c r="M61" s="183"/>
      <c r="N61" s="183"/>
      <c r="O61" s="183"/>
      <c r="P61" s="194"/>
      <c r="Q61" s="182"/>
      <c r="R61" s="182"/>
      <c r="S61" s="182"/>
      <c r="T61" s="182"/>
      <c r="U61" s="182"/>
      <c r="V61" s="190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3"/>
      <c r="AR61" s="183"/>
      <c r="AS61" s="183"/>
      <c r="AT61" s="183"/>
      <c r="AU61" s="183"/>
      <c r="AV61" s="183"/>
    </row>
    <row r="62" spans="1:48" ht="27" customHeight="1" x14ac:dyDescent="0.25">
      <c r="A62" s="251"/>
      <c r="B62" s="256"/>
      <c r="C62" s="249"/>
      <c r="D62" s="249"/>
      <c r="E62" s="249"/>
      <c r="F62" s="249"/>
      <c r="G62" s="249"/>
      <c r="H62" s="249"/>
      <c r="I62" s="249"/>
      <c r="J62" s="265"/>
      <c r="K62" s="183"/>
      <c r="L62" s="183"/>
      <c r="M62" s="183"/>
      <c r="N62" s="183"/>
      <c r="O62" s="183"/>
      <c r="P62" s="194"/>
      <c r="Q62" s="182"/>
      <c r="R62" s="182"/>
      <c r="S62" s="182"/>
      <c r="T62" s="182"/>
      <c r="U62" s="182"/>
      <c r="V62" s="190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3"/>
      <c r="AR62" s="183"/>
      <c r="AS62" s="183"/>
      <c r="AT62" s="183"/>
      <c r="AU62" s="183"/>
      <c r="AV62" s="183"/>
    </row>
    <row r="63" spans="1:48" ht="27" customHeight="1" x14ac:dyDescent="0.25">
      <c r="A63" s="251"/>
      <c r="B63" s="256"/>
      <c r="C63" s="249"/>
      <c r="D63" s="249"/>
      <c r="E63" s="249"/>
      <c r="F63" s="249"/>
      <c r="G63" s="249"/>
      <c r="H63" s="249"/>
      <c r="I63" s="249"/>
      <c r="J63" s="265"/>
      <c r="K63" s="183"/>
      <c r="L63" s="183"/>
      <c r="M63" s="183"/>
      <c r="N63" s="183"/>
      <c r="O63" s="183"/>
      <c r="P63" s="194"/>
      <c r="Q63" s="182"/>
      <c r="R63" s="182"/>
      <c r="S63" s="182"/>
      <c r="T63" s="182"/>
      <c r="U63" s="182"/>
      <c r="V63" s="190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3"/>
      <c r="AR63" s="183"/>
      <c r="AS63" s="183"/>
      <c r="AT63" s="183"/>
      <c r="AU63" s="183"/>
      <c r="AV63" s="183"/>
    </row>
    <row r="64" spans="1:48" ht="27" customHeight="1" x14ac:dyDescent="0.25">
      <c r="A64" s="251"/>
      <c r="B64" s="256"/>
      <c r="C64" s="249"/>
      <c r="D64" s="249"/>
      <c r="E64" s="249"/>
      <c r="F64" s="249"/>
      <c r="G64" s="249"/>
      <c r="H64" s="249"/>
      <c r="I64" s="249"/>
      <c r="J64" s="265"/>
      <c r="K64" s="183"/>
      <c r="L64" s="183"/>
      <c r="M64" s="183"/>
      <c r="N64" s="183"/>
      <c r="O64" s="183"/>
      <c r="P64" s="194"/>
      <c r="Q64" s="182"/>
      <c r="R64" s="182"/>
      <c r="S64" s="182"/>
      <c r="T64" s="182"/>
      <c r="U64" s="182"/>
      <c r="V64" s="190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3"/>
      <c r="AR64" s="183"/>
      <c r="AS64" s="183"/>
      <c r="AT64" s="183"/>
      <c r="AU64" s="183"/>
      <c r="AV64" s="183"/>
    </row>
    <row r="65" spans="1:48" ht="27" customHeight="1" x14ac:dyDescent="0.25">
      <c r="A65" s="251"/>
      <c r="B65" s="256"/>
      <c r="C65" s="249"/>
      <c r="D65" s="249"/>
      <c r="E65" s="249"/>
      <c r="F65" s="249"/>
      <c r="G65" s="249"/>
      <c r="H65" s="249"/>
      <c r="I65" s="249"/>
      <c r="J65" s="265"/>
      <c r="K65" s="183"/>
      <c r="L65" s="183"/>
      <c r="M65" s="183"/>
      <c r="N65" s="183"/>
      <c r="O65" s="183"/>
      <c r="P65" s="194"/>
      <c r="Q65" s="182"/>
      <c r="R65" s="182"/>
      <c r="S65" s="182"/>
      <c r="T65" s="182"/>
      <c r="U65" s="182"/>
      <c r="V65" s="190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3"/>
      <c r="AR65" s="183"/>
      <c r="AS65" s="183"/>
      <c r="AT65" s="183"/>
      <c r="AU65" s="183"/>
      <c r="AV65" s="183"/>
    </row>
    <row r="66" spans="1:48" ht="27" customHeight="1" x14ac:dyDescent="0.25">
      <c r="A66" s="268"/>
      <c r="B66" s="269"/>
      <c r="C66" s="270"/>
      <c r="D66" s="270"/>
      <c r="E66" s="270"/>
      <c r="F66" s="270"/>
      <c r="G66" s="270"/>
      <c r="H66" s="270"/>
      <c r="I66" s="270"/>
      <c r="J66" s="271"/>
      <c r="K66" s="183"/>
      <c r="L66" s="183"/>
      <c r="M66" s="183"/>
      <c r="N66" s="183"/>
      <c r="O66" s="183"/>
      <c r="P66" s="194"/>
      <c r="Q66" s="182"/>
      <c r="R66" s="182"/>
      <c r="S66" s="182"/>
      <c r="T66" s="182"/>
      <c r="U66" s="182"/>
      <c r="V66" s="190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3"/>
      <c r="AR66" s="183"/>
      <c r="AS66" s="183"/>
      <c r="AT66" s="183"/>
      <c r="AU66" s="183"/>
      <c r="AV66" s="183"/>
    </row>
    <row r="67" spans="1:48" ht="27" customHeight="1" x14ac:dyDescent="0.25">
      <c r="A67" s="182"/>
      <c r="B67" s="218"/>
      <c r="C67" s="219"/>
      <c r="D67" s="190"/>
      <c r="E67" s="193"/>
      <c r="F67" s="182"/>
      <c r="G67" s="194"/>
      <c r="H67" s="194"/>
      <c r="I67" s="194"/>
      <c r="J67" s="183"/>
      <c r="K67" s="183"/>
      <c r="L67" s="183"/>
      <c r="M67" s="183"/>
      <c r="N67" s="183"/>
      <c r="O67" s="183"/>
      <c r="P67" s="194"/>
      <c r="Q67" s="182"/>
      <c r="R67" s="182"/>
      <c r="S67" s="182"/>
      <c r="T67" s="182"/>
      <c r="U67" s="182"/>
      <c r="V67" s="190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3"/>
      <c r="AR67" s="183"/>
      <c r="AS67" s="183"/>
      <c r="AT67" s="183"/>
      <c r="AU67" s="183"/>
      <c r="AV67" s="183"/>
    </row>
    <row r="68" spans="1:48" ht="27" customHeight="1" x14ac:dyDescent="0.25">
      <c r="A68" s="220" t="s">
        <v>91</v>
      </c>
      <c r="B68" s="157"/>
      <c r="C68" s="157"/>
      <c r="D68" s="157"/>
      <c r="E68" s="157"/>
      <c r="F68" s="157"/>
      <c r="G68" s="221"/>
      <c r="H68" s="221"/>
      <c r="I68" s="221"/>
      <c r="J68" s="221"/>
      <c r="K68" s="183"/>
      <c r="L68" s="191" t="s">
        <v>92</v>
      </c>
      <c r="M68" s="157"/>
      <c r="N68" s="157"/>
      <c r="O68" s="157"/>
      <c r="P68" s="157"/>
      <c r="Q68" s="157"/>
      <c r="R68" s="157"/>
      <c r="S68" s="157"/>
      <c r="T68" s="157"/>
      <c r="U68" s="157"/>
      <c r="V68" s="224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3"/>
      <c r="AR68" s="183"/>
      <c r="AS68" s="183"/>
      <c r="AT68" s="183"/>
      <c r="AU68" s="183"/>
      <c r="AV68" s="183"/>
    </row>
    <row r="69" spans="1:48" ht="42" customHeight="1" x14ac:dyDescent="0.25">
      <c r="A69" s="225" t="s">
        <v>0</v>
      </c>
      <c r="B69" s="226" t="s">
        <v>59</v>
      </c>
      <c r="C69" s="226" t="s">
        <v>7</v>
      </c>
      <c r="D69" s="226" t="s">
        <v>60</v>
      </c>
      <c r="E69" s="227" t="s">
        <v>61</v>
      </c>
      <c r="F69" s="227" t="s">
        <v>62</v>
      </c>
      <c r="G69" s="227" t="s">
        <v>63</v>
      </c>
      <c r="H69" s="162" t="s">
        <v>64</v>
      </c>
      <c r="I69" s="162" t="s">
        <v>65</v>
      </c>
      <c r="J69" s="149" t="s">
        <v>66</v>
      </c>
      <c r="K69" s="183"/>
      <c r="L69" s="228" t="s">
        <v>0</v>
      </c>
      <c r="M69" s="162" t="s">
        <v>59</v>
      </c>
      <c r="N69" s="162" t="s">
        <v>7</v>
      </c>
      <c r="O69" s="128" t="s">
        <v>60</v>
      </c>
      <c r="P69" s="226" t="s">
        <v>61</v>
      </c>
      <c r="Q69" s="128" t="s">
        <v>62</v>
      </c>
      <c r="R69" s="128" t="s">
        <v>63</v>
      </c>
      <c r="S69" s="128" t="s">
        <v>93</v>
      </c>
      <c r="T69" s="128" t="s">
        <v>94</v>
      </c>
      <c r="U69" s="149" t="s">
        <v>66</v>
      </c>
      <c r="V69" s="22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3"/>
      <c r="AR69" s="183"/>
      <c r="AS69" s="183"/>
      <c r="AT69" s="183"/>
      <c r="AU69" s="183"/>
      <c r="AV69" s="183"/>
    </row>
    <row r="70" spans="1:48" ht="27" customHeight="1" x14ac:dyDescent="0.25">
      <c r="A70" s="229"/>
      <c r="B70" s="230">
        <v>24</v>
      </c>
      <c r="C70" s="231">
        <f t="shared" ref="C70:I70" si="0">SUM(C71:C94)</f>
        <v>1</v>
      </c>
      <c r="D70" s="231">
        <f t="shared" si="0"/>
        <v>60</v>
      </c>
      <c r="E70" s="231">
        <f t="shared" si="0"/>
        <v>3</v>
      </c>
      <c r="F70" s="231">
        <f t="shared" si="0"/>
        <v>48</v>
      </c>
      <c r="G70" s="231">
        <f t="shared" si="0"/>
        <v>54</v>
      </c>
      <c r="H70" s="231">
        <f t="shared" si="0"/>
        <v>1</v>
      </c>
      <c r="I70" s="231">
        <f t="shared" si="0"/>
        <v>8</v>
      </c>
      <c r="J70" s="233"/>
      <c r="K70" s="183"/>
      <c r="L70" s="234"/>
      <c r="M70" s="235">
        <v>5</v>
      </c>
      <c r="N70" s="235">
        <f t="shared" ref="N70:T70" si="1">SUM(N71:N85)</f>
        <v>1</v>
      </c>
      <c r="O70" s="235">
        <f t="shared" si="1"/>
        <v>5</v>
      </c>
      <c r="P70" s="235">
        <f t="shared" si="1"/>
        <v>0</v>
      </c>
      <c r="Q70" s="235">
        <f t="shared" si="1"/>
        <v>4</v>
      </c>
      <c r="R70" s="235">
        <f t="shared" si="1"/>
        <v>1</v>
      </c>
      <c r="S70" s="235">
        <f t="shared" si="1"/>
        <v>0</v>
      </c>
      <c r="T70" s="235">
        <f t="shared" si="1"/>
        <v>0</v>
      </c>
      <c r="U70" s="237"/>
      <c r="V70" s="22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3"/>
      <c r="AR70" s="183"/>
      <c r="AS70" s="183"/>
      <c r="AT70" s="183"/>
      <c r="AU70" s="183"/>
      <c r="AV70" s="183"/>
    </row>
    <row r="71" spans="1:48" ht="27" customHeight="1" x14ac:dyDescent="0.25">
      <c r="A71" s="238">
        <v>1</v>
      </c>
      <c r="B71" s="239" t="s">
        <v>67</v>
      </c>
      <c r="C71" s="240"/>
      <c r="D71" s="241">
        <v>17</v>
      </c>
      <c r="E71" s="241"/>
      <c r="F71" s="241">
        <v>14</v>
      </c>
      <c r="G71" s="241">
        <v>29</v>
      </c>
      <c r="H71" s="241"/>
      <c r="I71" s="241">
        <v>2</v>
      </c>
      <c r="J71" s="242"/>
      <c r="K71" s="183"/>
      <c r="L71" s="251">
        <v>1</v>
      </c>
      <c r="M71" s="252" t="s">
        <v>69</v>
      </c>
      <c r="N71" s="249"/>
      <c r="O71" s="249">
        <v>1</v>
      </c>
      <c r="P71" s="249"/>
      <c r="Q71" s="249"/>
      <c r="R71" s="253">
        <v>1</v>
      </c>
      <c r="S71" s="253"/>
      <c r="T71" s="253"/>
      <c r="U71" s="254"/>
      <c r="V71" s="22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3"/>
      <c r="AR71" s="183"/>
      <c r="AS71" s="183"/>
      <c r="AT71" s="183"/>
      <c r="AU71" s="183"/>
      <c r="AV71" s="183"/>
    </row>
    <row r="72" spans="1:48" ht="27" customHeight="1" x14ac:dyDescent="0.25">
      <c r="A72" s="247">
        <v>2</v>
      </c>
      <c r="B72" s="248" t="s">
        <v>68</v>
      </c>
      <c r="C72" s="249"/>
      <c r="D72" s="249">
        <v>19</v>
      </c>
      <c r="E72" s="249"/>
      <c r="F72" s="249">
        <v>8</v>
      </c>
      <c r="G72" s="249">
        <v>1</v>
      </c>
      <c r="H72" s="249"/>
      <c r="I72" s="249"/>
      <c r="J72" s="250"/>
      <c r="K72" s="183"/>
      <c r="L72" s="251">
        <v>2</v>
      </c>
      <c r="M72" s="252" t="s">
        <v>72</v>
      </c>
      <c r="N72" s="249"/>
      <c r="O72" s="249">
        <v>3</v>
      </c>
      <c r="P72" s="249"/>
      <c r="Q72" s="249">
        <v>3</v>
      </c>
      <c r="R72" s="249"/>
      <c r="S72" s="249"/>
      <c r="T72" s="249"/>
      <c r="U72" s="255"/>
      <c r="V72" s="22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3"/>
      <c r="AR72" s="183"/>
      <c r="AS72" s="183"/>
      <c r="AT72" s="183"/>
      <c r="AU72" s="183"/>
      <c r="AV72" s="183"/>
    </row>
    <row r="73" spans="1:48" ht="27" customHeight="1" x14ac:dyDescent="0.25">
      <c r="A73" s="247">
        <v>3</v>
      </c>
      <c r="B73" s="248" t="s">
        <v>70</v>
      </c>
      <c r="C73" s="249"/>
      <c r="D73" s="249"/>
      <c r="E73" s="249"/>
      <c r="F73" s="249">
        <v>4</v>
      </c>
      <c r="G73" s="249">
        <v>1</v>
      </c>
      <c r="H73" s="249"/>
      <c r="I73" s="249">
        <v>1</v>
      </c>
      <c r="J73" s="250"/>
      <c r="K73" s="183"/>
      <c r="L73" s="251">
        <v>3</v>
      </c>
      <c r="M73" s="256" t="s">
        <v>76</v>
      </c>
      <c r="N73" s="249">
        <v>1</v>
      </c>
      <c r="O73" s="253"/>
      <c r="P73" s="253"/>
      <c r="Q73" s="253"/>
      <c r="R73" s="253"/>
      <c r="S73" s="253"/>
      <c r="T73" s="253"/>
      <c r="U73" s="258"/>
      <c r="V73" s="22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3"/>
      <c r="AR73" s="183"/>
      <c r="AS73" s="183"/>
      <c r="AT73" s="183"/>
      <c r="AU73" s="183"/>
      <c r="AV73" s="183"/>
    </row>
    <row r="74" spans="1:48" ht="27" customHeight="1" x14ac:dyDescent="0.25">
      <c r="A74" s="251">
        <v>4</v>
      </c>
      <c r="B74" s="252" t="s">
        <v>71</v>
      </c>
      <c r="C74" s="249"/>
      <c r="D74" s="249">
        <v>5</v>
      </c>
      <c r="E74" s="249"/>
      <c r="F74" s="249">
        <v>8</v>
      </c>
      <c r="G74" s="249">
        <v>13</v>
      </c>
      <c r="H74" s="249"/>
      <c r="I74" s="249"/>
      <c r="J74" s="250"/>
      <c r="K74" s="183"/>
      <c r="L74" s="251">
        <v>4</v>
      </c>
      <c r="M74" s="256" t="s">
        <v>78</v>
      </c>
      <c r="N74" s="261"/>
      <c r="O74" s="253">
        <v>1</v>
      </c>
      <c r="P74" s="253"/>
      <c r="Q74" s="253"/>
      <c r="R74" s="253"/>
      <c r="S74" s="253"/>
      <c r="T74" s="253"/>
      <c r="U74" s="254"/>
      <c r="V74" s="221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3"/>
      <c r="AR74" s="183"/>
      <c r="AS74" s="183"/>
      <c r="AT74" s="183"/>
      <c r="AU74" s="183"/>
      <c r="AV74" s="183"/>
    </row>
    <row r="75" spans="1:48" ht="27" customHeight="1" x14ac:dyDescent="0.25">
      <c r="A75" s="251">
        <v>5</v>
      </c>
      <c r="B75" s="256" t="s">
        <v>73</v>
      </c>
      <c r="C75" s="249"/>
      <c r="D75" s="249">
        <v>10</v>
      </c>
      <c r="E75" s="249"/>
      <c r="F75" s="249">
        <v>4</v>
      </c>
      <c r="G75" s="249"/>
      <c r="H75" s="249"/>
      <c r="I75" s="249"/>
      <c r="J75" s="257"/>
      <c r="K75" s="183"/>
      <c r="L75" s="268">
        <v>5</v>
      </c>
      <c r="M75" s="269" t="s">
        <v>83</v>
      </c>
      <c r="N75" s="270"/>
      <c r="O75" s="270"/>
      <c r="P75" s="270"/>
      <c r="Q75" s="270">
        <v>1</v>
      </c>
      <c r="R75" s="270"/>
      <c r="S75" s="270"/>
      <c r="T75" s="270"/>
      <c r="U75" s="174"/>
      <c r="V75" s="221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3"/>
      <c r="AR75" s="183"/>
      <c r="AS75" s="183"/>
      <c r="AT75" s="183"/>
      <c r="AU75" s="183"/>
      <c r="AV75" s="183"/>
    </row>
    <row r="76" spans="1:48" ht="27" customHeight="1" x14ac:dyDescent="0.25">
      <c r="A76" s="251">
        <v>6</v>
      </c>
      <c r="B76" s="256" t="s">
        <v>74</v>
      </c>
      <c r="C76" s="249"/>
      <c r="D76" s="249">
        <v>2</v>
      </c>
      <c r="E76" s="249">
        <v>2</v>
      </c>
      <c r="F76" s="249">
        <v>1</v>
      </c>
      <c r="G76" s="249"/>
      <c r="H76" s="249"/>
      <c r="I76" s="249"/>
      <c r="J76" s="257"/>
      <c r="K76" s="183"/>
      <c r="L76" s="272"/>
      <c r="M76" s="252"/>
      <c r="N76" s="249"/>
      <c r="O76" s="249"/>
      <c r="P76" s="249"/>
      <c r="Q76" s="249"/>
      <c r="R76" s="249"/>
      <c r="S76" s="249"/>
      <c r="T76" s="249"/>
      <c r="U76" s="249"/>
      <c r="V76" s="22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3"/>
      <c r="AR76" s="183"/>
      <c r="AS76" s="183"/>
      <c r="AT76" s="183"/>
      <c r="AU76" s="183"/>
      <c r="AV76" s="183"/>
    </row>
    <row r="77" spans="1:48" ht="27" customHeight="1" x14ac:dyDescent="0.25">
      <c r="A77" s="251">
        <v>7</v>
      </c>
      <c r="B77" s="256" t="s">
        <v>75</v>
      </c>
      <c r="C77" s="249"/>
      <c r="D77" s="249">
        <v>1</v>
      </c>
      <c r="E77" s="249"/>
      <c r="F77" s="249"/>
      <c r="G77" s="249"/>
      <c r="H77" s="249"/>
      <c r="I77" s="249"/>
      <c r="J77" s="257"/>
      <c r="K77" s="183"/>
      <c r="V77" s="22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3"/>
      <c r="AR77" s="183"/>
      <c r="AS77" s="183"/>
      <c r="AT77" s="183"/>
      <c r="AU77" s="183"/>
      <c r="AV77" s="183"/>
    </row>
    <row r="78" spans="1:48" ht="27" customHeight="1" x14ac:dyDescent="0.25">
      <c r="A78" s="251">
        <v>8</v>
      </c>
      <c r="B78" s="256" t="s">
        <v>77</v>
      </c>
      <c r="C78" s="249"/>
      <c r="D78" s="249">
        <v>1</v>
      </c>
      <c r="E78" s="249">
        <v>1</v>
      </c>
      <c r="F78" s="249"/>
      <c r="G78" s="249"/>
      <c r="H78" s="249"/>
      <c r="I78" s="249"/>
      <c r="J78" s="257"/>
      <c r="K78" s="183"/>
      <c r="L78" s="272"/>
      <c r="M78" s="256"/>
      <c r="N78" s="249"/>
      <c r="O78" s="249"/>
      <c r="P78" s="249"/>
      <c r="Q78" s="261"/>
      <c r="R78" s="261"/>
      <c r="S78" s="261"/>
      <c r="T78" s="261"/>
      <c r="U78" s="261"/>
      <c r="V78" s="22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3"/>
      <c r="AR78" s="183"/>
      <c r="AS78" s="183"/>
      <c r="AT78" s="183"/>
      <c r="AU78" s="183"/>
      <c r="AV78" s="183"/>
    </row>
    <row r="79" spans="1:48" ht="27" customHeight="1" x14ac:dyDescent="0.25">
      <c r="A79" s="251">
        <v>9</v>
      </c>
      <c r="B79" s="256" t="s">
        <v>79</v>
      </c>
      <c r="C79" s="249"/>
      <c r="D79" s="249"/>
      <c r="E79" s="249"/>
      <c r="F79" s="249">
        <v>1</v>
      </c>
      <c r="G79" s="249"/>
      <c r="H79" s="249"/>
      <c r="I79" s="249"/>
      <c r="J79" s="257"/>
      <c r="K79" s="183"/>
      <c r="V79" s="22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3"/>
      <c r="AR79" s="183"/>
      <c r="AS79" s="183"/>
      <c r="AT79" s="183"/>
      <c r="AU79" s="183"/>
      <c r="AV79" s="183"/>
    </row>
    <row r="80" spans="1:48" ht="27" customHeight="1" x14ac:dyDescent="0.25">
      <c r="A80" s="251">
        <v>10</v>
      </c>
      <c r="B80" s="256" t="s">
        <v>80</v>
      </c>
      <c r="C80" s="249"/>
      <c r="D80" s="249"/>
      <c r="E80" s="249"/>
      <c r="F80" s="249"/>
      <c r="G80" s="249"/>
      <c r="H80" s="249"/>
      <c r="I80" s="249"/>
      <c r="J80" s="257"/>
      <c r="K80" s="183"/>
      <c r="L80" s="272"/>
      <c r="M80" s="256"/>
      <c r="N80" s="249"/>
      <c r="O80" s="249"/>
      <c r="P80" s="249"/>
      <c r="Q80" s="249"/>
      <c r="R80" s="261"/>
      <c r="S80" s="261"/>
      <c r="T80" s="261"/>
      <c r="U80" s="261"/>
      <c r="V80" s="26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3"/>
      <c r="AR80" s="183"/>
      <c r="AS80" s="183"/>
      <c r="AT80" s="183"/>
      <c r="AU80" s="183"/>
      <c r="AV80" s="183"/>
    </row>
    <row r="81" spans="1:48" ht="27" customHeight="1" x14ac:dyDescent="0.25">
      <c r="A81" s="251">
        <v>11</v>
      </c>
      <c r="B81" s="256" t="s">
        <v>81</v>
      </c>
      <c r="C81" s="249"/>
      <c r="D81" s="249"/>
      <c r="E81" s="249"/>
      <c r="F81" s="249"/>
      <c r="G81" s="249">
        <v>3</v>
      </c>
      <c r="H81" s="249"/>
      <c r="I81" s="249"/>
      <c r="J81" s="263"/>
      <c r="K81" s="183"/>
      <c r="L81" s="272"/>
      <c r="M81" s="256"/>
      <c r="N81" s="249"/>
      <c r="O81" s="249"/>
      <c r="P81" s="249"/>
      <c r="Q81" s="249"/>
      <c r="R81" s="249"/>
      <c r="S81" s="249"/>
      <c r="T81" s="249"/>
      <c r="U81" s="249"/>
      <c r="V81" s="259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3"/>
      <c r="AR81" s="183"/>
      <c r="AS81" s="183"/>
      <c r="AT81" s="183"/>
      <c r="AU81" s="183"/>
      <c r="AV81" s="183"/>
    </row>
    <row r="82" spans="1:48" ht="27" customHeight="1" x14ac:dyDescent="0.25">
      <c r="A82" s="251">
        <v>12</v>
      </c>
      <c r="B82" s="256" t="s">
        <v>82</v>
      </c>
      <c r="C82" s="249"/>
      <c r="D82" s="249"/>
      <c r="E82" s="249"/>
      <c r="F82" s="249">
        <v>1</v>
      </c>
      <c r="G82" s="249">
        <v>1</v>
      </c>
      <c r="H82" s="249"/>
      <c r="I82" s="221"/>
      <c r="J82" s="265"/>
      <c r="K82" s="183"/>
      <c r="L82" s="272"/>
      <c r="M82" s="256"/>
      <c r="N82" s="249"/>
      <c r="O82" s="249"/>
      <c r="P82" s="249"/>
      <c r="Q82" s="249"/>
      <c r="R82" s="249"/>
      <c r="S82" s="249"/>
      <c r="T82" s="249"/>
      <c r="U82" s="249"/>
      <c r="V82" s="264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3"/>
      <c r="AR82" s="183"/>
      <c r="AS82" s="183"/>
      <c r="AT82" s="183"/>
      <c r="AU82" s="183"/>
      <c r="AV82" s="183"/>
    </row>
    <row r="83" spans="1:48" ht="27" customHeight="1" x14ac:dyDescent="0.25">
      <c r="A83" s="251">
        <v>13</v>
      </c>
      <c r="B83" s="256" t="s">
        <v>84</v>
      </c>
      <c r="C83" s="249"/>
      <c r="D83" s="249"/>
      <c r="E83" s="249"/>
      <c r="F83" s="249"/>
      <c r="G83" s="249">
        <v>1</v>
      </c>
      <c r="H83" s="249"/>
      <c r="I83" s="249"/>
      <c r="J83" s="265"/>
      <c r="K83" s="183"/>
      <c r="V83" s="266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3"/>
      <c r="AR83" s="183"/>
      <c r="AS83" s="183"/>
      <c r="AT83" s="183"/>
      <c r="AU83" s="183"/>
      <c r="AV83" s="183"/>
    </row>
    <row r="84" spans="1:48" ht="27" customHeight="1" x14ac:dyDescent="0.25">
      <c r="A84" s="251">
        <v>14</v>
      </c>
      <c r="B84" s="256" t="s">
        <v>85</v>
      </c>
      <c r="C84" s="249"/>
      <c r="D84" s="249">
        <v>1</v>
      </c>
      <c r="E84" s="249"/>
      <c r="F84" s="249"/>
      <c r="G84" s="249">
        <v>1</v>
      </c>
      <c r="H84" s="249"/>
      <c r="I84" s="221"/>
      <c r="J84" s="265"/>
      <c r="K84" s="183"/>
      <c r="L84" s="272"/>
      <c r="M84" s="256"/>
      <c r="N84" s="249"/>
      <c r="O84" s="249"/>
      <c r="P84" s="249"/>
      <c r="Q84" s="249"/>
      <c r="R84" s="249"/>
      <c r="S84" s="249"/>
      <c r="T84" s="249"/>
      <c r="U84" s="249"/>
      <c r="V84" s="267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3"/>
      <c r="AR84" s="183"/>
      <c r="AS84" s="183"/>
      <c r="AT84" s="183"/>
      <c r="AU84" s="183"/>
      <c r="AV84" s="183"/>
    </row>
    <row r="85" spans="1:48" ht="27" customHeight="1" x14ac:dyDescent="0.25">
      <c r="A85" s="251">
        <v>15</v>
      </c>
      <c r="B85" s="256" t="s">
        <v>86</v>
      </c>
      <c r="C85" s="249"/>
      <c r="D85" s="249"/>
      <c r="E85" s="249"/>
      <c r="F85" s="249"/>
      <c r="G85" s="249"/>
      <c r="H85" s="249"/>
      <c r="I85" s="249">
        <v>3</v>
      </c>
      <c r="J85" s="265"/>
      <c r="K85" s="183"/>
      <c r="L85" s="272"/>
      <c r="M85" s="256"/>
      <c r="N85" s="249"/>
      <c r="O85" s="249"/>
      <c r="P85" s="249"/>
      <c r="Q85" s="249"/>
      <c r="R85" s="249"/>
      <c r="S85" s="249"/>
      <c r="T85" s="249"/>
      <c r="U85" s="249"/>
      <c r="V85" s="256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3"/>
      <c r="AR85" s="183"/>
      <c r="AS85" s="183"/>
      <c r="AT85" s="183"/>
      <c r="AU85" s="183"/>
      <c r="AV85" s="183"/>
    </row>
    <row r="86" spans="1:48" ht="27" customHeight="1" x14ac:dyDescent="0.25">
      <c r="A86" s="251">
        <v>16</v>
      </c>
      <c r="B86" s="256" t="s">
        <v>87</v>
      </c>
      <c r="C86" s="249"/>
      <c r="D86" s="249"/>
      <c r="E86" s="249"/>
      <c r="F86" s="249">
        <v>1</v>
      </c>
      <c r="G86" s="249"/>
      <c r="H86" s="249"/>
      <c r="I86" s="249"/>
      <c r="J86" s="265"/>
      <c r="K86" s="183"/>
      <c r="L86" s="183"/>
      <c r="M86" s="183"/>
      <c r="N86" s="183"/>
      <c r="O86" s="183"/>
      <c r="P86" s="194"/>
      <c r="Q86" s="182"/>
      <c r="R86" s="182"/>
      <c r="S86" s="182"/>
      <c r="T86" s="182"/>
      <c r="U86" s="182"/>
      <c r="V86" s="190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3"/>
      <c r="AR86" s="183"/>
      <c r="AS86" s="183"/>
      <c r="AT86" s="183"/>
      <c r="AU86" s="183"/>
      <c r="AV86" s="183"/>
    </row>
    <row r="87" spans="1:48" ht="27" customHeight="1" x14ac:dyDescent="0.25">
      <c r="A87" s="251">
        <v>17</v>
      </c>
      <c r="B87" s="256" t="s">
        <v>88</v>
      </c>
      <c r="C87" s="249"/>
      <c r="D87" s="249"/>
      <c r="E87" s="249"/>
      <c r="F87" s="249">
        <v>3</v>
      </c>
      <c r="G87" s="249"/>
      <c r="H87" s="249"/>
      <c r="I87" s="249"/>
      <c r="J87" s="265"/>
      <c r="K87" s="183"/>
      <c r="L87" s="183"/>
      <c r="M87" s="183"/>
      <c r="N87" s="183"/>
      <c r="O87" s="183"/>
      <c r="P87" s="194"/>
      <c r="Q87" s="182"/>
      <c r="R87" s="182"/>
      <c r="S87" s="182"/>
      <c r="T87" s="182"/>
      <c r="U87" s="182"/>
      <c r="V87" s="190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3"/>
      <c r="AR87" s="183"/>
      <c r="AS87" s="183"/>
      <c r="AT87" s="183"/>
      <c r="AU87" s="183"/>
      <c r="AV87" s="183"/>
    </row>
    <row r="88" spans="1:48" ht="27" customHeight="1" x14ac:dyDescent="0.25">
      <c r="A88" s="251">
        <v>18</v>
      </c>
      <c r="B88" s="256" t="s">
        <v>89</v>
      </c>
      <c r="C88" s="249">
        <v>1</v>
      </c>
      <c r="D88" s="249"/>
      <c r="E88" s="249"/>
      <c r="F88" s="249">
        <v>2</v>
      </c>
      <c r="G88" s="249"/>
      <c r="H88" s="249"/>
      <c r="I88" s="249"/>
      <c r="J88" s="265"/>
      <c r="K88" s="183"/>
      <c r="L88" s="183"/>
      <c r="M88" s="183"/>
      <c r="N88" s="183"/>
      <c r="O88" s="183"/>
      <c r="P88" s="194"/>
      <c r="Q88" s="182"/>
      <c r="R88" s="182"/>
      <c r="S88" s="182"/>
      <c r="T88" s="182"/>
      <c r="U88" s="182"/>
      <c r="V88" s="190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3"/>
      <c r="AR88" s="183"/>
      <c r="AS88" s="183"/>
      <c r="AT88" s="183"/>
      <c r="AU88" s="183"/>
      <c r="AV88" s="183"/>
    </row>
    <row r="89" spans="1:48" ht="27" customHeight="1" x14ac:dyDescent="0.25">
      <c r="A89" s="251">
        <v>19</v>
      </c>
      <c r="B89" s="256" t="s">
        <v>95</v>
      </c>
      <c r="C89" s="249"/>
      <c r="D89" s="249"/>
      <c r="E89" s="249"/>
      <c r="F89" s="249"/>
      <c r="G89" s="249">
        <v>1</v>
      </c>
      <c r="H89" s="249"/>
      <c r="I89" s="249"/>
      <c r="J89" s="265"/>
      <c r="K89" s="183"/>
      <c r="L89" s="183"/>
      <c r="M89" s="183"/>
      <c r="N89" s="183"/>
      <c r="O89" s="183"/>
      <c r="P89" s="194"/>
      <c r="Q89" s="182"/>
      <c r="R89" s="182"/>
      <c r="S89" s="182"/>
      <c r="T89" s="182"/>
      <c r="U89" s="182"/>
      <c r="V89" s="190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3"/>
      <c r="AR89" s="183"/>
      <c r="AS89" s="183"/>
      <c r="AT89" s="183"/>
      <c r="AU89" s="183"/>
      <c r="AV89" s="183"/>
    </row>
    <row r="90" spans="1:48" ht="27" customHeight="1" x14ac:dyDescent="0.25">
      <c r="A90" s="251">
        <v>20</v>
      </c>
      <c r="B90" s="256" t="s">
        <v>96</v>
      </c>
      <c r="C90" s="249"/>
      <c r="D90" s="249"/>
      <c r="E90" s="249"/>
      <c r="F90" s="249"/>
      <c r="G90" s="249">
        <v>1</v>
      </c>
      <c r="H90" s="249">
        <v>1</v>
      </c>
      <c r="I90" s="249">
        <v>1</v>
      </c>
      <c r="J90" s="265"/>
      <c r="K90" s="183"/>
      <c r="L90" s="183"/>
      <c r="M90" s="183"/>
      <c r="N90" s="183"/>
      <c r="O90" s="183"/>
      <c r="P90" s="194"/>
      <c r="Q90" s="182"/>
      <c r="R90" s="182"/>
      <c r="S90" s="182"/>
      <c r="T90" s="182"/>
      <c r="U90" s="182"/>
      <c r="V90" s="190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3"/>
      <c r="AR90" s="183"/>
      <c r="AS90" s="183"/>
      <c r="AT90" s="183"/>
      <c r="AU90" s="183"/>
      <c r="AV90" s="183"/>
    </row>
    <row r="91" spans="1:48" ht="27" customHeight="1" x14ac:dyDescent="0.25">
      <c r="A91" s="251">
        <v>21</v>
      </c>
      <c r="B91" s="256" t="s">
        <v>97</v>
      </c>
      <c r="C91" s="249"/>
      <c r="D91" s="249"/>
      <c r="E91" s="249"/>
      <c r="F91" s="249"/>
      <c r="G91" s="249">
        <v>1</v>
      </c>
      <c r="H91" s="249"/>
      <c r="I91" s="249"/>
      <c r="J91" s="265"/>
      <c r="K91" s="183"/>
      <c r="L91" s="183"/>
      <c r="M91" s="183"/>
      <c r="N91" s="183"/>
      <c r="O91" s="183"/>
      <c r="P91" s="194"/>
      <c r="Q91" s="182"/>
      <c r="R91" s="182"/>
      <c r="S91" s="182"/>
      <c r="T91" s="182"/>
      <c r="U91" s="182"/>
      <c r="V91" s="190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3"/>
      <c r="AR91" s="183"/>
      <c r="AS91" s="183"/>
      <c r="AT91" s="183"/>
      <c r="AU91" s="183"/>
      <c r="AV91" s="183"/>
    </row>
    <row r="92" spans="1:48" ht="27" customHeight="1" x14ac:dyDescent="0.25">
      <c r="A92" s="251">
        <v>22</v>
      </c>
      <c r="B92" s="256" t="s">
        <v>98</v>
      </c>
      <c r="C92" s="249"/>
      <c r="D92" s="249"/>
      <c r="E92" s="249"/>
      <c r="F92" s="249"/>
      <c r="G92" s="249"/>
      <c r="H92" s="249"/>
      <c r="I92" s="249">
        <v>1</v>
      </c>
      <c r="J92" s="265"/>
      <c r="K92" s="183"/>
      <c r="L92" s="183"/>
      <c r="M92" s="183"/>
      <c r="N92" s="183"/>
      <c r="O92" s="183"/>
      <c r="P92" s="194"/>
      <c r="Q92" s="182"/>
      <c r="R92" s="182"/>
      <c r="S92" s="182"/>
      <c r="T92" s="182"/>
      <c r="U92" s="182"/>
      <c r="V92" s="190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3"/>
      <c r="AR92" s="183"/>
      <c r="AS92" s="183"/>
      <c r="AT92" s="183"/>
      <c r="AU92" s="183"/>
      <c r="AV92" s="183"/>
    </row>
    <row r="93" spans="1:48" ht="27" customHeight="1" x14ac:dyDescent="0.25">
      <c r="A93" s="251">
        <v>23</v>
      </c>
      <c r="B93" s="273" t="s">
        <v>233</v>
      </c>
      <c r="C93" s="249"/>
      <c r="D93" s="249">
        <v>4</v>
      </c>
      <c r="E93" s="249"/>
      <c r="F93" s="249"/>
      <c r="G93" s="249">
        <v>1</v>
      </c>
      <c r="H93" s="249"/>
      <c r="I93" s="249"/>
      <c r="J93" s="265"/>
      <c r="K93" s="183"/>
      <c r="L93" s="183"/>
      <c r="M93" s="183"/>
      <c r="N93" s="183"/>
      <c r="O93" s="183"/>
      <c r="P93" s="194"/>
      <c r="Q93" s="182"/>
      <c r="R93" s="182"/>
      <c r="S93" s="182"/>
      <c r="T93" s="182"/>
      <c r="U93" s="182"/>
      <c r="V93" s="190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3"/>
      <c r="AR93" s="183"/>
      <c r="AS93" s="183"/>
      <c r="AT93" s="183"/>
      <c r="AU93" s="183"/>
      <c r="AV93" s="183"/>
    </row>
    <row r="94" spans="1:48" ht="27" customHeight="1" x14ac:dyDescent="0.25">
      <c r="A94" s="268">
        <v>24</v>
      </c>
      <c r="B94" s="269" t="s">
        <v>90</v>
      </c>
      <c r="C94" s="270"/>
      <c r="D94" s="270"/>
      <c r="E94" s="270"/>
      <c r="F94" s="270">
        <v>1</v>
      </c>
      <c r="G94" s="270"/>
      <c r="H94" s="270"/>
      <c r="I94" s="270"/>
      <c r="J94" s="271"/>
      <c r="K94" s="183"/>
      <c r="L94" s="183"/>
      <c r="M94" s="183"/>
      <c r="N94" s="183"/>
      <c r="O94" s="183"/>
      <c r="P94" s="194"/>
      <c r="Q94" s="182"/>
      <c r="R94" s="182"/>
      <c r="S94" s="182"/>
      <c r="T94" s="182"/>
      <c r="U94" s="182"/>
      <c r="V94" s="190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3"/>
      <c r="AR94" s="183"/>
      <c r="AS94" s="183"/>
      <c r="AT94" s="183"/>
      <c r="AU94" s="183"/>
      <c r="AV94" s="183"/>
    </row>
    <row r="95" spans="1:48" ht="27" customHeight="1" x14ac:dyDescent="0.25">
      <c r="K95" s="183"/>
      <c r="L95" s="183"/>
      <c r="M95" s="183"/>
      <c r="N95" s="183"/>
      <c r="O95" s="183"/>
      <c r="P95" s="194"/>
      <c r="Q95" s="182"/>
      <c r="R95" s="182"/>
      <c r="S95" s="182"/>
      <c r="T95" s="182"/>
      <c r="U95" s="182"/>
      <c r="V95" s="190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3"/>
      <c r="AR95" s="183"/>
      <c r="AS95" s="183"/>
      <c r="AT95" s="183"/>
      <c r="AU95" s="183"/>
      <c r="AV95" s="183"/>
    </row>
    <row r="96" spans="1:48" ht="27" customHeight="1" x14ac:dyDescent="0.25">
      <c r="K96" s="183"/>
      <c r="L96" s="183"/>
      <c r="M96" s="183"/>
      <c r="N96" s="183"/>
      <c r="O96" s="183"/>
      <c r="P96" s="194"/>
      <c r="Q96" s="182"/>
      <c r="R96" s="182"/>
      <c r="S96" s="182"/>
      <c r="T96" s="182"/>
      <c r="U96" s="182"/>
      <c r="V96" s="190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3"/>
      <c r="AR96" s="183"/>
      <c r="AS96" s="183"/>
      <c r="AT96" s="183"/>
      <c r="AU96" s="183"/>
      <c r="AV96" s="183"/>
    </row>
    <row r="97" spans="1:48" ht="27" customHeight="1" x14ac:dyDescent="0.25">
      <c r="K97" s="183"/>
      <c r="L97" s="183"/>
      <c r="M97" s="183"/>
      <c r="N97" s="183"/>
      <c r="O97" s="183"/>
      <c r="P97" s="194"/>
      <c r="Q97" s="182"/>
      <c r="R97" s="182"/>
      <c r="S97" s="182"/>
      <c r="T97" s="182"/>
      <c r="U97" s="182"/>
      <c r="V97" s="190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3"/>
      <c r="AR97" s="183"/>
      <c r="AS97" s="183"/>
      <c r="AT97" s="183"/>
      <c r="AU97" s="183"/>
      <c r="AV97" s="183"/>
    </row>
    <row r="98" spans="1:48" ht="27" customHeight="1" x14ac:dyDescent="0.25">
      <c r="K98" s="183"/>
      <c r="L98" s="183"/>
      <c r="M98" s="183"/>
      <c r="N98" s="183"/>
      <c r="O98" s="183"/>
      <c r="P98" s="194"/>
      <c r="Q98" s="182"/>
      <c r="R98" s="182"/>
      <c r="S98" s="182"/>
      <c r="T98" s="182"/>
      <c r="U98" s="182"/>
      <c r="V98" s="190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3"/>
      <c r="AR98" s="183"/>
      <c r="AS98" s="183"/>
      <c r="AT98" s="183"/>
      <c r="AU98" s="183"/>
      <c r="AV98" s="183"/>
    </row>
    <row r="99" spans="1:48" ht="27" customHeight="1" x14ac:dyDescent="0.25">
      <c r="K99" s="183"/>
      <c r="L99" s="183"/>
      <c r="M99" s="183"/>
      <c r="N99" s="183"/>
      <c r="O99" s="183"/>
      <c r="P99" s="194"/>
      <c r="Q99" s="182"/>
      <c r="R99" s="182"/>
      <c r="S99" s="182"/>
      <c r="T99" s="182"/>
      <c r="U99" s="182"/>
      <c r="V99" s="190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3"/>
      <c r="AR99" s="183"/>
      <c r="AS99" s="183"/>
      <c r="AT99" s="183"/>
      <c r="AU99" s="183"/>
      <c r="AV99" s="183"/>
    </row>
    <row r="100" spans="1:48" ht="27" customHeight="1" x14ac:dyDescent="0.25">
      <c r="K100" s="183"/>
      <c r="L100" s="183"/>
      <c r="M100" s="183"/>
      <c r="N100" s="183"/>
      <c r="O100" s="183"/>
      <c r="P100" s="194"/>
      <c r="Q100" s="182"/>
      <c r="R100" s="182"/>
      <c r="S100" s="182"/>
      <c r="T100" s="182"/>
      <c r="U100" s="182"/>
      <c r="V100" s="190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3"/>
      <c r="AR100" s="183"/>
      <c r="AS100" s="183"/>
      <c r="AT100" s="183"/>
      <c r="AU100" s="183"/>
      <c r="AV100" s="183"/>
    </row>
    <row r="101" spans="1:48" ht="27" customHeight="1" x14ac:dyDescent="0.25">
      <c r="K101" s="183"/>
      <c r="L101" s="183"/>
      <c r="M101" s="183"/>
      <c r="N101" s="183"/>
      <c r="O101" s="183"/>
      <c r="P101" s="194"/>
      <c r="Q101" s="182"/>
      <c r="R101" s="182"/>
      <c r="S101" s="182"/>
      <c r="T101" s="182"/>
      <c r="U101" s="182"/>
      <c r="V101" s="190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3"/>
      <c r="AR101" s="183"/>
      <c r="AS101" s="183"/>
      <c r="AT101" s="183"/>
      <c r="AU101" s="183"/>
      <c r="AV101" s="183"/>
    </row>
    <row r="102" spans="1:48" ht="27" customHeight="1" x14ac:dyDescent="0.25">
      <c r="K102" s="183"/>
      <c r="L102" s="183"/>
      <c r="M102" s="183"/>
      <c r="N102" s="183"/>
      <c r="O102" s="183"/>
      <c r="P102" s="194"/>
      <c r="Q102" s="182"/>
      <c r="R102" s="182"/>
      <c r="S102" s="182"/>
      <c r="T102" s="182"/>
      <c r="U102" s="182"/>
      <c r="V102" s="190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3"/>
      <c r="AR102" s="183"/>
      <c r="AS102" s="183"/>
      <c r="AT102" s="183"/>
      <c r="AU102" s="183"/>
      <c r="AV102" s="183"/>
    </row>
    <row r="103" spans="1:48" ht="27" customHeight="1" x14ac:dyDescent="0.25">
      <c r="K103" s="183"/>
      <c r="L103" s="183"/>
      <c r="M103" s="183"/>
      <c r="N103" s="183"/>
      <c r="O103" s="183"/>
      <c r="P103" s="194"/>
      <c r="Q103" s="182"/>
      <c r="R103" s="182"/>
      <c r="S103" s="182"/>
      <c r="T103" s="182"/>
      <c r="U103" s="182"/>
      <c r="V103" s="190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3"/>
      <c r="AR103" s="183"/>
      <c r="AS103" s="183"/>
      <c r="AT103" s="183"/>
      <c r="AU103" s="183"/>
      <c r="AV103" s="183"/>
    </row>
    <row r="104" spans="1:48" ht="27" customHeight="1" x14ac:dyDescent="0.25">
      <c r="A104" s="251"/>
      <c r="B104" s="256"/>
      <c r="C104" s="249"/>
      <c r="D104" s="249"/>
      <c r="E104" s="249"/>
      <c r="F104" s="249"/>
      <c r="G104" s="249"/>
      <c r="H104" s="249"/>
      <c r="I104" s="249"/>
      <c r="J104" s="274"/>
      <c r="K104" s="183"/>
      <c r="L104" s="183"/>
      <c r="M104" s="183"/>
      <c r="N104" s="183"/>
      <c r="O104" s="183"/>
      <c r="P104" s="194"/>
      <c r="Q104" s="182"/>
      <c r="R104" s="182"/>
      <c r="S104" s="182"/>
      <c r="T104" s="182"/>
      <c r="U104" s="182"/>
      <c r="V104" s="190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3"/>
      <c r="AR104" s="183"/>
      <c r="AS104" s="183"/>
      <c r="AT104" s="183"/>
      <c r="AU104" s="183"/>
      <c r="AV104" s="183"/>
    </row>
    <row r="105" spans="1:48" ht="27" customHeight="1" x14ac:dyDescent="0.25">
      <c r="A105" s="182"/>
      <c r="B105" s="218"/>
      <c r="C105" s="219"/>
      <c r="D105" s="190"/>
      <c r="E105" s="193"/>
      <c r="F105" s="182"/>
      <c r="G105" s="194"/>
      <c r="H105" s="194"/>
      <c r="I105" s="194"/>
      <c r="J105" s="183"/>
      <c r="K105" s="183"/>
      <c r="L105" s="183"/>
      <c r="M105" s="183"/>
      <c r="N105" s="183"/>
      <c r="O105" s="183"/>
      <c r="P105" s="194"/>
      <c r="Q105" s="182"/>
      <c r="R105" s="182"/>
      <c r="S105" s="182"/>
      <c r="T105" s="182"/>
      <c r="U105" s="182"/>
      <c r="V105" s="190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3"/>
      <c r="AR105" s="183"/>
      <c r="AS105" s="183"/>
      <c r="AT105" s="183"/>
      <c r="AU105" s="183"/>
      <c r="AV105" s="183"/>
    </row>
    <row r="106" spans="1:48" ht="27" customHeight="1" x14ac:dyDescent="0.25">
      <c r="A106" s="182"/>
      <c r="B106" s="218"/>
      <c r="C106" s="219"/>
      <c r="D106" s="190"/>
      <c r="E106" s="193"/>
      <c r="F106" s="182"/>
      <c r="G106" s="194"/>
      <c r="H106" s="194"/>
      <c r="I106" s="194"/>
      <c r="J106" s="183"/>
      <c r="K106" s="183"/>
      <c r="L106" s="183"/>
      <c r="M106" s="183"/>
      <c r="N106" s="183"/>
      <c r="O106" s="183"/>
      <c r="P106" s="194"/>
      <c r="Q106" s="182"/>
      <c r="R106" s="182"/>
      <c r="S106" s="182"/>
      <c r="T106" s="182"/>
      <c r="U106" s="182"/>
      <c r="V106" s="190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3"/>
      <c r="AR106" s="183"/>
      <c r="AS106" s="183"/>
      <c r="AT106" s="183"/>
      <c r="AU106" s="183"/>
      <c r="AV106" s="183"/>
    </row>
    <row r="107" spans="1:48" ht="27" customHeight="1" x14ac:dyDescent="0.25">
      <c r="A107" s="182"/>
      <c r="B107" s="218"/>
      <c r="C107" s="219"/>
      <c r="D107" s="190"/>
      <c r="E107" s="193"/>
      <c r="F107" s="182"/>
      <c r="G107" s="194"/>
      <c r="H107" s="194"/>
      <c r="I107" s="194"/>
      <c r="J107" s="183"/>
      <c r="K107" s="183"/>
      <c r="L107" s="183"/>
      <c r="M107" s="183"/>
      <c r="N107" s="183"/>
      <c r="O107" s="183"/>
      <c r="P107" s="194"/>
      <c r="Q107" s="182"/>
      <c r="R107" s="182"/>
      <c r="S107" s="182"/>
      <c r="T107" s="182"/>
      <c r="U107" s="182"/>
      <c r="V107" s="190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3"/>
      <c r="AR107" s="183"/>
      <c r="AS107" s="183"/>
      <c r="AT107" s="183"/>
      <c r="AU107" s="183"/>
      <c r="AV107" s="183"/>
    </row>
    <row r="108" spans="1:48" ht="27" customHeight="1" x14ac:dyDescent="0.25">
      <c r="A108" s="182"/>
      <c r="B108" s="218"/>
      <c r="C108" s="219"/>
      <c r="D108" s="190"/>
      <c r="E108" s="193"/>
      <c r="F108" s="182"/>
      <c r="G108" s="194"/>
      <c r="H108" s="194"/>
      <c r="I108" s="194"/>
      <c r="J108" s="183"/>
      <c r="K108" s="183"/>
      <c r="L108" s="183"/>
      <c r="M108" s="183"/>
      <c r="N108" s="183"/>
      <c r="O108" s="183"/>
      <c r="P108" s="194"/>
      <c r="Q108" s="182"/>
      <c r="R108" s="182"/>
      <c r="S108" s="182"/>
      <c r="T108" s="182"/>
      <c r="U108" s="182"/>
      <c r="V108" s="190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3"/>
      <c r="AR108" s="183"/>
      <c r="AS108" s="183"/>
      <c r="AT108" s="183"/>
      <c r="AU108" s="183"/>
      <c r="AV108" s="183"/>
    </row>
    <row r="109" spans="1:48" ht="27" customHeight="1" x14ac:dyDescent="0.25">
      <c r="A109" s="182"/>
      <c r="B109" s="218"/>
      <c r="C109" s="219"/>
      <c r="D109" s="190"/>
      <c r="E109" s="193"/>
      <c r="F109" s="182"/>
      <c r="G109" s="194"/>
      <c r="H109" s="194"/>
      <c r="I109" s="194"/>
      <c r="J109" s="183"/>
      <c r="K109" s="183"/>
      <c r="L109" s="183"/>
      <c r="M109" s="183"/>
      <c r="N109" s="183"/>
      <c r="O109" s="183"/>
      <c r="P109" s="194"/>
      <c r="Q109" s="182"/>
      <c r="R109" s="182"/>
      <c r="S109" s="182"/>
      <c r="T109" s="182"/>
      <c r="U109" s="182"/>
      <c r="V109" s="190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3"/>
      <c r="AR109" s="183"/>
      <c r="AS109" s="183"/>
      <c r="AT109" s="183"/>
      <c r="AU109" s="183"/>
      <c r="AV109" s="183"/>
    </row>
    <row r="110" spans="1:48" ht="27" customHeight="1" x14ac:dyDescent="0.25">
      <c r="A110" s="182"/>
      <c r="B110" s="218"/>
      <c r="C110" s="219"/>
      <c r="D110" s="190"/>
      <c r="E110" s="193"/>
      <c r="F110" s="182"/>
      <c r="G110" s="194"/>
      <c r="H110" s="194"/>
      <c r="I110" s="194"/>
      <c r="J110" s="183"/>
      <c r="K110" s="183"/>
      <c r="L110" s="183"/>
      <c r="M110" s="183"/>
      <c r="N110" s="183"/>
      <c r="O110" s="183"/>
      <c r="P110" s="194"/>
      <c r="Q110" s="182"/>
      <c r="R110" s="182"/>
      <c r="S110" s="182"/>
      <c r="T110" s="182"/>
      <c r="U110" s="182"/>
      <c r="V110" s="190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3"/>
      <c r="AR110" s="183"/>
      <c r="AS110" s="183"/>
      <c r="AT110" s="183"/>
      <c r="AU110" s="183"/>
      <c r="AV110" s="183"/>
    </row>
    <row r="111" spans="1:48" ht="27" customHeight="1" x14ac:dyDescent="0.25">
      <c r="A111" s="182"/>
      <c r="B111" s="218"/>
      <c r="C111" s="219"/>
      <c r="D111" s="190"/>
      <c r="E111" s="193"/>
      <c r="F111" s="182"/>
      <c r="G111" s="194"/>
      <c r="H111" s="194"/>
      <c r="I111" s="194"/>
      <c r="J111" s="183"/>
      <c r="K111" s="183"/>
      <c r="L111" s="183"/>
      <c r="M111" s="183"/>
      <c r="N111" s="183"/>
      <c r="O111" s="183"/>
      <c r="P111" s="194"/>
      <c r="Q111" s="182"/>
      <c r="R111" s="182"/>
      <c r="S111" s="182"/>
      <c r="T111" s="182"/>
      <c r="U111" s="182"/>
      <c r="V111" s="190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3"/>
      <c r="AR111" s="183"/>
      <c r="AS111" s="183"/>
      <c r="AT111" s="183"/>
      <c r="AU111" s="183"/>
      <c r="AV111" s="183"/>
    </row>
    <row r="112" spans="1:48" ht="27" customHeight="1" x14ac:dyDescent="0.25">
      <c r="A112" s="182"/>
      <c r="B112" s="218"/>
      <c r="C112" s="219"/>
      <c r="D112" s="190"/>
      <c r="E112" s="193"/>
      <c r="F112" s="182"/>
      <c r="G112" s="194"/>
      <c r="H112" s="194"/>
      <c r="I112" s="194"/>
      <c r="J112" s="183"/>
      <c r="K112" s="183"/>
      <c r="L112" s="183"/>
      <c r="M112" s="183"/>
      <c r="N112" s="183"/>
      <c r="O112" s="183"/>
      <c r="P112" s="194"/>
      <c r="Q112" s="182"/>
      <c r="R112" s="182"/>
      <c r="S112" s="182"/>
      <c r="T112" s="182"/>
      <c r="U112" s="182"/>
      <c r="V112" s="190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3"/>
      <c r="AR112" s="183"/>
      <c r="AS112" s="183"/>
      <c r="AT112" s="183"/>
      <c r="AU112" s="183"/>
      <c r="AV112" s="183"/>
    </row>
    <row r="113" spans="1:48" ht="27" customHeight="1" x14ac:dyDescent="0.25">
      <c r="A113" s="182"/>
      <c r="B113" s="218"/>
      <c r="C113" s="219"/>
      <c r="D113" s="190"/>
      <c r="E113" s="193"/>
      <c r="F113" s="182"/>
      <c r="G113" s="194"/>
      <c r="H113" s="194"/>
      <c r="I113" s="194"/>
      <c r="J113" s="183"/>
      <c r="K113" s="183"/>
      <c r="L113" s="183"/>
      <c r="M113" s="183"/>
      <c r="N113" s="183"/>
      <c r="O113" s="183"/>
      <c r="P113" s="194"/>
      <c r="Q113" s="182"/>
      <c r="R113" s="182"/>
      <c r="S113" s="182"/>
      <c r="T113" s="182"/>
      <c r="U113" s="182"/>
      <c r="V113" s="190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3"/>
      <c r="AR113" s="183"/>
      <c r="AS113" s="183"/>
      <c r="AT113" s="183"/>
      <c r="AU113" s="183"/>
      <c r="AV113" s="183"/>
    </row>
    <row r="114" spans="1:48" ht="27" customHeight="1" x14ac:dyDescent="0.25">
      <c r="A114" s="182"/>
      <c r="B114" s="218"/>
      <c r="C114" s="219"/>
      <c r="D114" s="190"/>
      <c r="E114" s="193"/>
      <c r="F114" s="182"/>
      <c r="G114" s="194"/>
      <c r="H114" s="194"/>
      <c r="I114" s="194"/>
      <c r="J114" s="183"/>
      <c r="K114" s="183"/>
      <c r="L114" s="183"/>
      <c r="M114" s="183"/>
      <c r="N114" s="183"/>
      <c r="O114" s="183"/>
      <c r="P114" s="194"/>
      <c r="Q114" s="182"/>
      <c r="R114" s="182"/>
      <c r="S114" s="182"/>
      <c r="T114" s="182"/>
      <c r="U114" s="182"/>
      <c r="V114" s="190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3"/>
      <c r="AR114" s="183"/>
      <c r="AS114" s="183"/>
      <c r="AT114" s="183"/>
      <c r="AU114" s="183"/>
      <c r="AV114" s="183"/>
    </row>
    <row r="115" spans="1:48" ht="27" customHeight="1" x14ac:dyDescent="0.25">
      <c r="A115" s="182"/>
      <c r="B115" s="218"/>
      <c r="C115" s="219"/>
      <c r="D115" s="190"/>
      <c r="E115" s="193"/>
      <c r="F115" s="182"/>
      <c r="G115" s="194"/>
      <c r="H115" s="194"/>
      <c r="I115" s="194"/>
      <c r="J115" s="183"/>
      <c r="K115" s="183"/>
      <c r="L115" s="183"/>
      <c r="M115" s="183"/>
      <c r="N115" s="183"/>
      <c r="O115" s="183"/>
      <c r="P115" s="194"/>
      <c r="Q115" s="182"/>
      <c r="R115" s="182"/>
      <c r="S115" s="182"/>
      <c r="T115" s="182"/>
      <c r="U115" s="182"/>
      <c r="V115" s="190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3"/>
      <c r="AR115" s="183"/>
      <c r="AS115" s="183"/>
      <c r="AT115" s="183"/>
      <c r="AU115" s="183"/>
      <c r="AV115" s="183"/>
    </row>
    <row r="116" spans="1:48" ht="27" customHeight="1" x14ac:dyDescent="0.25">
      <c r="A116" s="182"/>
      <c r="B116" s="218"/>
      <c r="C116" s="219"/>
      <c r="D116" s="190"/>
      <c r="E116" s="193"/>
      <c r="F116" s="182"/>
      <c r="G116" s="194"/>
      <c r="H116" s="194"/>
      <c r="I116" s="194"/>
      <c r="J116" s="183"/>
      <c r="K116" s="183"/>
      <c r="L116" s="183"/>
      <c r="M116" s="183"/>
      <c r="N116" s="183"/>
      <c r="O116" s="183"/>
      <c r="P116" s="194"/>
      <c r="Q116" s="182"/>
      <c r="R116" s="182"/>
      <c r="S116" s="182"/>
      <c r="T116" s="182"/>
      <c r="U116" s="182"/>
      <c r="V116" s="190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3"/>
      <c r="AR116" s="183"/>
      <c r="AS116" s="183"/>
      <c r="AT116" s="183"/>
      <c r="AU116" s="183"/>
      <c r="AV116" s="183"/>
    </row>
    <row r="117" spans="1:48" ht="27" customHeight="1" x14ac:dyDescent="0.25">
      <c r="A117" s="182"/>
      <c r="B117" s="218"/>
      <c r="C117" s="219"/>
      <c r="D117" s="190"/>
      <c r="E117" s="193"/>
      <c r="F117" s="182"/>
      <c r="G117" s="194"/>
      <c r="H117" s="194"/>
      <c r="I117" s="194"/>
      <c r="J117" s="183"/>
      <c r="K117" s="183"/>
      <c r="L117" s="183"/>
      <c r="M117" s="183"/>
      <c r="N117" s="183"/>
      <c r="O117" s="183"/>
      <c r="P117" s="194"/>
      <c r="Q117" s="182"/>
      <c r="R117" s="182"/>
      <c r="S117" s="182"/>
      <c r="T117" s="182"/>
      <c r="U117" s="182"/>
      <c r="V117" s="190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3"/>
      <c r="AR117" s="183"/>
      <c r="AS117" s="183"/>
      <c r="AT117" s="183"/>
      <c r="AU117" s="183"/>
      <c r="AV117" s="183"/>
    </row>
    <row r="118" spans="1:48" ht="27" customHeight="1" x14ac:dyDescent="0.25">
      <c r="A118" s="182"/>
      <c r="B118" s="218"/>
      <c r="C118" s="219"/>
      <c r="D118" s="190"/>
      <c r="E118" s="193"/>
      <c r="F118" s="182"/>
      <c r="G118" s="194"/>
      <c r="H118" s="194"/>
      <c r="I118" s="194"/>
      <c r="J118" s="183"/>
      <c r="K118" s="183"/>
      <c r="L118" s="183"/>
      <c r="M118" s="183"/>
      <c r="N118" s="183"/>
      <c r="O118" s="183"/>
      <c r="P118" s="194"/>
      <c r="Q118" s="182"/>
      <c r="R118" s="182"/>
      <c r="S118" s="182"/>
      <c r="T118" s="182"/>
      <c r="U118" s="182"/>
      <c r="V118" s="190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3"/>
      <c r="AR118" s="183"/>
      <c r="AS118" s="183"/>
      <c r="AT118" s="183"/>
      <c r="AU118" s="183"/>
      <c r="AV118" s="183"/>
    </row>
    <row r="119" spans="1:48" ht="27" customHeight="1" x14ac:dyDescent="0.25">
      <c r="A119" s="182"/>
      <c r="B119" s="218"/>
      <c r="C119" s="219"/>
      <c r="D119" s="190"/>
      <c r="E119" s="193"/>
      <c r="F119" s="182"/>
      <c r="G119" s="194"/>
      <c r="H119" s="194"/>
      <c r="I119" s="194"/>
      <c r="J119" s="183"/>
      <c r="K119" s="183"/>
      <c r="L119" s="183"/>
      <c r="M119" s="183"/>
      <c r="N119" s="183"/>
      <c r="O119" s="183"/>
      <c r="P119" s="194"/>
      <c r="Q119" s="182"/>
      <c r="R119" s="182"/>
      <c r="S119" s="182"/>
      <c r="T119" s="182"/>
      <c r="U119" s="182"/>
      <c r="V119" s="190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3"/>
      <c r="AR119" s="183"/>
      <c r="AS119" s="183"/>
      <c r="AT119" s="183"/>
      <c r="AU119" s="183"/>
      <c r="AV119" s="183"/>
    </row>
    <row r="120" spans="1:48" ht="27" customHeight="1" x14ac:dyDescent="0.25">
      <c r="A120" s="182"/>
      <c r="B120" s="218"/>
      <c r="C120" s="219"/>
      <c r="D120" s="190"/>
      <c r="E120" s="193"/>
      <c r="F120" s="182"/>
      <c r="G120" s="194"/>
      <c r="H120" s="194"/>
      <c r="I120" s="194"/>
      <c r="J120" s="183"/>
      <c r="K120" s="183"/>
      <c r="L120" s="183"/>
      <c r="M120" s="183"/>
      <c r="N120" s="183"/>
      <c r="O120" s="183"/>
      <c r="P120" s="194"/>
      <c r="Q120" s="182"/>
      <c r="R120" s="182"/>
      <c r="S120" s="182"/>
      <c r="T120" s="182"/>
      <c r="U120" s="182"/>
      <c r="V120" s="190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3"/>
      <c r="AR120" s="183"/>
      <c r="AS120" s="183"/>
      <c r="AT120" s="183"/>
      <c r="AU120" s="183"/>
      <c r="AV120" s="183"/>
    </row>
    <row r="121" spans="1:48" ht="27" customHeight="1" x14ac:dyDescent="0.25">
      <c r="A121" s="182"/>
      <c r="B121" s="218"/>
      <c r="C121" s="219"/>
      <c r="D121" s="190"/>
      <c r="E121" s="193"/>
      <c r="F121" s="182"/>
      <c r="G121" s="194"/>
      <c r="H121" s="194"/>
      <c r="I121" s="194"/>
      <c r="J121" s="183"/>
      <c r="K121" s="183"/>
      <c r="L121" s="183"/>
      <c r="M121" s="183"/>
      <c r="N121" s="183"/>
      <c r="O121" s="183"/>
      <c r="P121" s="194"/>
      <c r="Q121" s="182"/>
      <c r="R121" s="182"/>
      <c r="S121" s="182"/>
      <c r="T121" s="182"/>
      <c r="U121" s="182"/>
      <c r="V121" s="190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3"/>
      <c r="AR121" s="183"/>
      <c r="AS121" s="183"/>
      <c r="AT121" s="183"/>
      <c r="AU121" s="183"/>
      <c r="AV121" s="183"/>
    </row>
    <row r="122" spans="1:48" ht="27" customHeight="1" x14ac:dyDescent="0.25">
      <c r="A122" s="182"/>
      <c r="B122" s="218"/>
      <c r="C122" s="219"/>
      <c r="D122" s="190"/>
      <c r="E122" s="193"/>
      <c r="F122" s="182"/>
      <c r="G122" s="194"/>
      <c r="H122" s="194"/>
      <c r="I122" s="194"/>
      <c r="J122" s="183"/>
      <c r="K122" s="183"/>
      <c r="L122" s="183"/>
      <c r="M122" s="183"/>
      <c r="N122" s="183"/>
      <c r="O122" s="183"/>
      <c r="P122" s="194"/>
      <c r="Q122" s="182"/>
      <c r="R122" s="182"/>
      <c r="S122" s="182"/>
      <c r="T122" s="182"/>
      <c r="U122" s="182"/>
      <c r="V122" s="190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  <c r="AP122" s="182"/>
      <c r="AQ122" s="183"/>
      <c r="AR122" s="183"/>
      <c r="AS122" s="183"/>
      <c r="AT122" s="183"/>
      <c r="AU122" s="183"/>
      <c r="AV122" s="183"/>
    </row>
    <row r="123" spans="1:48" ht="27" customHeight="1" x14ac:dyDescent="0.25">
      <c r="A123" s="182"/>
      <c r="B123" s="218"/>
      <c r="C123" s="219"/>
      <c r="D123" s="190"/>
      <c r="E123" s="193"/>
      <c r="F123" s="182"/>
      <c r="G123" s="194"/>
      <c r="H123" s="194"/>
      <c r="I123" s="194"/>
      <c r="J123" s="183"/>
      <c r="K123" s="183"/>
      <c r="L123" s="183"/>
      <c r="M123" s="183"/>
      <c r="N123" s="183"/>
      <c r="O123" s="183"/>
      <c r="P123" s="194"/>
      <c r="Q123" s="182"/>
      <c r="R123" s="182"/>
      <c r="S123" s="182"/>
      <c r="T123" s="182"/>
      <c r="U123" s="182"/>
      <c r="V123" s="190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3"/>
      <c r="AR123" s="183"/>
      <c r="AS123" s="183"/>
      <c r="AT123" s="183"/>
      <c r="AU123" s="183"/>
      <c r="AV123" s="183"/>
    </row>
    <row r="124" spans="1:48" ht="27" customHeight="1" x14ac:dyDescent="0.25">
      <c r="A124" s="182"/>
      <c r="B124" s="218"/>
      <c r="C124" s="219"/>
      <c r="D124" s="190"/>
      <c r="E124" s="193"/>
      <c r="F124" s="182"/>
      <c r="G124" s="194"/>
      <c r="H124" s="194"/>
      <c r="I124" s="194"/>
      <c r="J124" s="183"/>
      <c r="K124" s="183"/>
      <c r="L124" s="183"/>
      <c r="M124" s="183"/>
      <c r="N124" s="183"/>
      <c r="O124" s="183"/>
      <c r="P124" s="194"/>
      <c r="Q124" s="182"/>
      <c r="R124" s="182"/>
      <c r="S124" s="182"/>
      <c r="T124" s="182"/>
      <c r="U124" s="182"/>
      <c r="V124" s="190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  <c r="AM124" s="182"/>
      <c r="AN124" s="182"/>
      <c r="AO124" s="182"/>
      <c r="AP124" s="182"/>
      <c r="AQ124" s="183"/>
      <c r="AR124" s="183"/>
      <c r="AS124" s="183"/>
      <c r="AT124" s="183"/>
      <c r="AU124" s="183"/>
      <c r="AV124" s="183"/>
    </row>
    <row r="125" spans="1:48" ht="27" customHeight="1" x14ac:dyDescent="0.25">
      <c r="A125" s="182"/>
      <c r="B125" s="218"/>
      <c r="C125" s="219"/>
      <c r="D125" s="190"/>
      <c r="E125" s="193"/>
      <c r="F125" s="182"/>
      <c r="G125" s="194"/>
      <c r="H125" s="194"/>
      <c r="I125" s="194"/>
      <c r="J125" s="183"/>
      <c r="K125" s="183"/>
      <c r="L125" s="183"/>
      <c r="M125" s="183"/>
      <c r="N125" s="183"/>
      <c r="O125" s="183"/>
      <c r="P125" s="194"/>
      <c r="Q125" s="182"/>
      <c r="R125" s="182"/>
      <c r="S125" s="182"/>
      <c r="T125" s="182"/>
      <c r="U125" s="182"/>
      <c r="V125" s="190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  <c r="AP125" s="182"/>
      <c r="AQ125" s="183"/>
      <c r="AR125" s="183"/>
      <c r="AS125" s="183"/>
      <c r="AT125" s="183"/>
      <c r="AU125" s="183"/>
      <c r="AV125" s="183"/>
    </row>
    <row r="126" spans="1:48" ht="27" customHeight="1" x14ac:dyDescent="0.25">
      <c r="A126" s="182"/>
      <c r="B126" s="218"/>
      <c r="C126" s="219"/>
      <c r="D126" s="190"/>
      <c r="E126" s="193"/>
      <c r="F126" s="182"/>
      <c r="G126" s="194"/>
      <c r="H126" s="194"/>
      <c r="I126" s="194"/>
      <c r="J126" s="183"/>
      <c r="K126" s="183"/>
      <c r="L126" s="183"/>
      <c r="M126" s="183"/>
      <c r="N126" s="183"/>
      <c r="O126" s="183"/>
      <c r="P126" s="194"/>
      <c r="Q126" s="182"/>
      <c r="R126" s="182"/>
      <c r="S126" s="182"/>
      <c r="T126" s="182"/>
      <c r="U126" s="182"/>
      <c r="V126" s="190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3"/>
      <c r="AR126" s="183"/>
      <c r="AS126" s="183"/>
      <c r="AT126" s="183"/>
      <c r="AU126" s="183"/>
      <c r="AV126" s="183"/>
    </row>
    <row r="127" spans="1:48" ht="27" customHeight="1" x14ac:dyDescent="0.25">
      <c r="A127" s="182"/>
      <c r="B127" s="218"/>
      <c r="C127" s="219"/>
      <c r="D127" s="190"/>
      <c r="E127" s="193"/>
      <c r="F127" s="182"/>
      <c r="G127" s="194"/>
      <c r="H127" s="194"/>
      <c r="I127" s="194"/>
      <c r="J127" s="183"/>
      <c r="K127" s="183"/>
      <c r="L127" s="183"/>
      <c r="M127" s="183"/>
      <c r="N127" s="183"/>
      <c r="O127" s="183"/>
      <c r="P127" s="194"/>
      <c r="Q127" s="182"/>
      <c r="R127" s="182"/>
      <c r="S127" s="182"/>
      <c r="T127" s="182"/>
      <c r="U127" s="182"/>
      <c r="V127" s="190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  <c r="AP127" s="182"/>
      <c r="AQ127" s="183"/>
      <c r="AR127" s="183"/>
      <c r="AS127" s="183"/>
      <c r="AT127" s="183"/>
      <c r="AU127" s="183"/>
      <c r="AV127" s="183"/>
    </row>
    <row r="128" spans="1:48" ht="27" customHeight="1" x14ac:dyDescent="0.25">
      <c r="A128" s="182"/>
      <c r="B128" s="218"/>
      <c r="C128" s="219"/>
      <c r="D128" s="190"/>
      <c r="E128" s="193"/>
      <c r="F128" s="182"/>
      <c r="G128" s="194"/>
      <c r="H128" s="194"/>
      <c r="I128" s="194"/>
      <c r="J128" s="183"/>
      <c r="K128" s="183"/>
      <c r="L128" s="183"/>
      <c r="M128" s="183"/>
      <c r="N128" s="183"/>
      <c r="O128" s="183"/>
      <c r="P128" s="194"/>
      <c r="Q128" s="182"/>
      <c r="R128" s="182"/>
      <c r="S128" s="182"/>
      <c r="T128" s="182"/>
      <c r="U128" s="182"/>
      <c r="V128" s="190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3"/>
      <c r="AR128" s="183"/>
      <c r="AS128" s="183"/>
      <c r="AT128" s="183"/>
      <c r="AU128" s="183"/>
      <c r="AV128" s="183"/>
    </row>
    <row r="129" spans="1:48" ht="27" customHeight="1" x14ac:dyDescent="0.25">
      <c r="A129" s="182"/>
      <c r="B129" s="218"/>
      <c r="C129" s="219"/>
      <c r="D129" s="190"/>
      <c r="E129" s="193"/>
      <c r="F129" s="182"/>
      <c r="G129" s="194"/>
      <c r="H129" s="194"/>
      <c r="I129" s="194"/>
      <c r="J129" s="183"/>
      <c r="K129" s="183"/>
      <c r="L129" s="183"/>
      <c r="M129" s="183"/>
      <c r="N129" s="183"/>
      <c r="O129" s="183"/>
      <c r="P129" s="194"/>
      <c r="Q129" s="182"/>
      <c r="R129" s="182"/>
      <c r="S129" s="182"/>
      <c r="T129" s="182"/>
      <c r="U129" s="182"/>
      <c r="V129" s="190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  <c r="AM129" s="182"/>
      <c r="AN129" s="182"/>
      <c r="AO129" s="182"/>
      <c r="AP129" s="182"/>
      <c r="AQ129" s="183"/>
      <c r="AR129" s="183"/>
      <c r="AS129" s="183"/>
      <c r="AT129" s="183"/>
      <c r="AU129" s="183"/>
      <c r="AV129" s="183"/>
    </row>
    <row r="130" spans="1:48" ht="27" customHeight="1" x14ac:dyDescent="0.25">
      <c r="A130" s="182"/>
      <c r="B130" s="218"/>
      <c r="C130" s="219"/>
      <c r="D130" s="190"/>
      <c r="E130" s="193"/>
      <c r="F130" s="182"/>
      <c r="G130" s="194"/>
      <c r="H130" s="194"/>
      <c r="I130" s="194"/>
      <c r="J130" s="183"/>
      <c r="K130" s="183"/>
      <c r="L130" s="183"/>
      <c r="M130" s="183"/>
      <c r="N130" s="183"/>
      <c r="O130" s="183"/>
      <c r="P130" s="194"/>
      <c r="Q130" s="182"/>
      <c r="R130" s="182"/>
      <c r="S130" s="182"/>
      <c r="T130" s="182"/>
      <c r="U130" s="182"/>
      <c r="V130" s="190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  <c r="AP130" s="182"/>
      <c r="AQ130" s="183"/>
      <c r="AR130" s="183"/>
      <c r="AS130" s="183"/>
      <c r="AT130" s="183"/>
      <c r="AU130" s="183"/>
      <c r="AV130" s="183"/>
    </row>
    <row r="131" spans="1:48" ht="27" customHeight="1" x14ac:dyDescent="0.25">
      <c r="A131" s="182"/>
      <c r="B131" s="218"/>
      <c r="C131" s="219"/>
      <c r="D131" s="190"/>
      <c r="E131" s="193"/>
      <c r="F131" s="182"/>
      <c r="G131" s="194"/>
      <c r="H131" s="194"/>
      <c r="I131" s="194"/>
      <c r="J131" s="183"/>
      <c r="K131" s="183"/>
      <c r="L131" s="183"/>
      <c r="M131" s="183"/>
      <c r="N131" s="183"/>
      <c r="O131" s="183"/>
      <c r="P131" s="194"/>
      <c r="Q131" s="182"/>
      <c r="R131" s="182"/>
      <c r="S131" s="182"/>
      <c r="T131" s="182"/>
      <c r="U131" s="182"/>
      <c r="V131" s="190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3"/>
      <c r="AR131" s="183"/>
      <c r="AS131" s="183"/>
      <c r="AT131" s="183"/>
      <c r="AU131" s="183"/>
      <c r="AV131" s="183"/>
    </row>
    <row r="132" spans="1:48" ht="27" customHeight="1" x14ac:dyDescent="0.25">
      <c r="A132" s="182"/>
      <c r="B132" s="218"/>
      <c r="C132" s="219"/>
      <c r="D132" s="190"/>
      <c r="E132" s="193"/>
      <c r="F132" s="182"/>
      <c r="G132" s="194"/>
      <c r="H132" s="194"/>
      <c r="I132" s="194"/>
      <c r="J132" s="183"/>
      <c r="K132" s="183"/>
      <c r="L132" s="183"/>
      <c r="M132" s="183"/>
      <c r="N132" s="183"/>
      <c r="O132" s="183"/>
      <c r="P132" s="194"/>
      <c r="Q132" s="182"/>
      <c r="R132" s="182"/>
      <c r="S132" s="182"/>
      <c r="T132" s="182"/>
      <c r="U132" s="182"/>
      <c r="V132" s="190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  <c r="AM132" s="182"/>
      <c r="AN132" s="182"/>
      <c r="AO132" s="182"/>
      <c r="AP132" s="182"/>
      <c r="AQ132" s="183"/>
      <c r="AR132" s="183"/>
      <c r="AS132" s="183"/>
      <c r="AT132" s="183"/>
      <c r="AU132" s="183"/>
      <c r="AV132" s="183"/>
    </row>
  </sheetData>
  <mergeCells count="13">
    <mergeCell ref="L68:U68"/>
    <mergeCell ref="A1:W3"/>
    <mergeCell ref="A4:W4"/>
    <mergeCell ref="A6:B6"/>
    <mergeCell ref="A9:A11"/>
    <mergeCell ref="A12:A14"/>
    <mergeCell ref="A15:A17"/>
    <mergeCell ref="A18:A20"/>
    <mergeCell ref="A21:A23"/>
    <mergeCell ref="A24:A26"/>
    <mergeCell ref="A27:A29"/>
    <mergeCell ref="A32:F32"/>
    <mergeCell ref="A68:F68"/>
  </mergeCells>
  <hyperlinks>
    <hyperlink ref="B93" r:id="rId1" xr:uid="{00000000-0004-0000-04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X1002"/>
  <sheetViews>
    <sheetView workbookViewId="0"/>
  </sheetViews>
  <sheetFormatPr defaultColWidth="12.6640625" defaultRowHeight="15.75" customHeight="1" x14ac:dyDescent="0.25"/>
  <cols>
    <col min="1" max="1" width="8.6640625" customWidth="1"/>
    <col min="2" max="2" width="32.44140625" customWidth="1"/>
    <col min="3" max="4" width="7.21875" customWidth="1"/>
    <col min="5" max="8" width="12.77734375" customWidth="1"/>
    <col min="9" max="9" width="12" customWidth="1"/>
    <col min="10" max="10" width="15.33203125" customWidth="1"/>
    <col min="11" max="11" width="14.109375" customWidth="1"/>
    <col min="12" max="12" width="14.44140625" customWidth="1"/>
    <col min="13" max="13" width="13.21875" customWidth="1"/>
    <col min="14" max="14" width="16.109375" customWidth="1"/>
  </cols>
  <sheetData>
    <row r="1" spans="1:24" ht="33.75" customHeight="1" x14ac:dyDescent="0.25">
      <c r="A1" s="96" t="s">
        <v>99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8"/>
      <c r="T1" s="8"/>
      <c r="U1" s="8"/>
      <c r="V1" s="8"/>
      <c r="W1" s="8"/>
      <c r="X1" s="9" t="s">
        <v>100</v>
      </c>
    </row>
    <row r="2" spans="1:24" ht="24" customHeight="1" x14ac:dyDescent="0.25">
      <c r="A2" s="97" t="s">
        <v>101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8"/>
      <c r="T2" s="8"/>
      <c r="U2" s="8"/>
      <c r="V2" s="8"/>
      <c r="W2" s="8"/>
      <c r="X2" s="8"/>
    </row>
    <row r="3" spans="1:24" ht="24" customHeight="1" x14ac:dyDescent="0.25">
      <c r="A3" s="3"/>
      <c r="B3" s="8"/>
      <c r="C3" s="8"/>
      <c r="D3" s="8"/>
      <c r="E3" s="3"/>
      <c r="F3" s="3"/>
      <c r="G3" s="8"/>
      <c r="H3" s="8"/>
      <c r="I3" s="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24" customHeight="1" x14ac:dyDescent="0.25">
      <c r="A4" s="98" t="s">
        <v>102</v>
      </c>
      <c r="B4" s="76"/>
      <c r="C4" s="76"/>
      <c r="D4" s="76"/>
      <c r="E4" s="76"/>
      <c r="F4" s="76"/>
      <c r="G4" s="76"/>
      <c r="H4" s="76"/>
      <c r="I4" s="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24" customHeight="1" x14ac:dyDescent="0.25">
      <c r="A5" s="99" t="s">
        <v>103</v>
      </c>
      <c r="B5" s="78"/>
      <c r="C5" s="78"/>
      <c r="D5" s="86"/>
      <c r="E5" s="95" t="s">
        <v>1</v>
      </c>
      <c r="F5" s="86"/>
      <c r="G5" s="95" t="s">
        <v>19</v>
      </c>
      <c r="H5" s="86"/>
      <c r="I5" s="95" t="s">
        <v>20</v>
      </c>
      <c r="J5" s="86"/>
      <c r="K5" s="95" t="s">
        <v>21</v>
      </c>
      <c r="L5" s="86"/>
      <c r="M5" s="95" t="s">
        <v>22</v>
      </c>
      <c r="N5" s="86"/>
      <c r="O5" s="95" t="s">
        <v>23</v>
      </c>
      <c r="P5" s="86"/>
      <c r="Q5" s="95" t="s">
        <v>24</v>
      </c>
      <c r="R5" s="86"/>
      <c r="S5" s="95" t="s">
        <v>25</v>
      </c>
      <c r="T5" s="86"/>
      <c r="U5" s="95" t="s">
        <v>26</v>
      </c>
      <c r="V5" s="86"/>
      <c r="W5" s="8"/>
      <c r="X5" s="8"/>
    </row>
    <row r="6" spans="1:24" ht="24" customHeight="1" x14ac:dyDescent="0.25">
      <c r="A6" s="100"/>
      <c r="B6" s="79"/>
      <c r="C6" s="79"/>
      <c r="D6" s="88"/>
      <c r="E6" s="83">
        <v>704</v>
      </c>
      <c r="F6" s="77"/>
      <c r="G6" s="83">
        <v>1039</v>
      </c>
      <c r="H6" s="77"/>
      <c r="I6" s="83">
        <v>1412</v>
      </c>
      <c r="J6" s="77"/>
      <c r="K6" s="83">
        <v>1507</v>
      </c>
      <c r="L6" s="77"/>
      <c r="M6" s="83" t="e">
        <f>M12</f>
        <v>#REF!</v>
      </c>
      <c r="N6" s="77"/>
      <c r="O6" s="83" t="e">
        <f>O12</f>
        <v>#REF!</v>
      </c>
      <c r="P6" s="77"/>
      <c r="Q6" s="83" t="e">
        <f>Q12</f>
        <v>#REF!</v>
      </c>
      <c r="R6" s="77"/>
      <c r="S6" s="83" t="e">
        <f>S12</f>
        <v>#REF!</v>
      </c>
      <c r="T6" s="77"/>
      <c r="U6" s="83">
        <f>U12</f>
        <v>0</v>
      </c>
      <c r="V6" s="77"/>
      <c r="W6" s="8"/>
      <c r="X6" s="8"/>
    </row>
    <row r="7" spans="1:24" ht="24" customHeight="1" x14ac:dyDescent="0.25">
      <c r="A7" s="85" t="s">
        <v>104</v>
      </c>
      <c r="B7" s="78"/>
      <c r="C7" s="78"/>
      <c r="D7" s="86"/>
      <c r="E7" s="84">
        <v>486</v>
      </c>
      <c r="F7" s="80"/>
      <c r="G7" s="84">
        <v>692</v>
      </c>
      <c r="H7" s="80"/>
      <c r="I7" s="84">
        <v>961</v>
      </c>
      <c r="J7" s="80"/>
      <c r="K7" s="84">
        <v>976</v>
      </c>
      <c r="L7" s="80"/>
      <c r="M7" s="84" t="e">
        <f>COUNTIF(#REF!,"người bệnh mới")</f>
        <v>#REF!</v>
      </c>
      <c r="N7" s="80"/>
      <c r="O7" s="84" t="e">
        <f>COUNTIF(#REF!,"người bệnh mới")</f>
        <v>#REF!</v>
      </c>
      <c r="P7" s="80"/>
      <c r="Q7" s="84" t="e">
        <f>COUNTIF(#REF!,"người bệnh mới")</f>
        <v>#REF!</v>
      </c>
      <c r="R7" s="80"/>
      <c r="S7" s="84" t="e">
        <f>COUNTIF(#REF!,"người bệnh mới")</f>
        <v>#REF!</v>
      </c>
      <c r="T7" s="80"/>
      <c r="U7" s="84" t="e">
        <f>COUNTIF(#REF!,"người bệnh mới")</f>
        <v>#REF!</v>
      </c>
      <c r="V7" s="80"/>
      <c r="W7" s="8"/>
      <c r="X7" s="8"/>
    </row>
    <row r="8" spans="1:24" ht="24" customHeight="1" x14ac:dyDescent="0.25">
      <c r="A8" s="87" t="s">
        <v>105</v>
      </c>
      <c r="B8" s="79"/>
      <c r="C8" s="79"/>
      <c r="D8" s="88"/>
      <c r="E8" s="89">
        <v>218</v>
      </c>
      <c r="F8" s="88"/>
      <c r="G8" s="89">
        <v>347</v>
      </c>
      <c r="H8" s="88"/>
      <c r="I8" s="89">
        <v>451</v>
      </c>
      <c r="J8" s="88"/>
      <c r="K8" s="89">
        <v>531</v>
      </c>
      <c r="L8" s="88"/>
      <c r="M8" s="89" t="e">
        <f>M6-M7</f>
        <v>#REF!</v>
      </c>
      <c r="N8" s="88"/>
      <c r="O8" s="89" t="e">
        <f>O6-O7</f>
        <v>#REF!</v>
      </c>
      <c r="P8" s="88"/>
      <c r="Q8" s="89" t="e">
        <f>Q6-Q7</f>
        <v>#REF!</v>
      </c>
      <c r="R8" s="88"/>
      <c r="S8" s="89" t="e">
        <f>S6-S7</f>
        <v>#REF!</v>
      </c>
      <c r="T8" s="88"/>
      <c r="U8" s="89" t="e">
        <f>U6-U7</f>
        <v>#REF!</v>
      </c>
      <c r="V8" s="88"/>
      <c r="W8" s="8"/>
      <c r="X8" s="8"/>
    </row>
    <row r="9" spans="1:24" ht="24" customHeight="1" x14ac:dyDescent="0.25">
      <c r="A9" s="3"/>
      <c r="B9" s="8"/>
      <c r="C9" s="8"/>
      <c r="D9" s="8"/>
      <c r="E9" s="4"/>
      <c r="F9" s="4"/>
      <c r="G9" s="10"/>
      <c r="H9" s="10"/>
      <c r="I9" s="4"/>
      <c r="J9" s="10"/>
      <c r="K9" s="10"/>
      <c r="L9" s="10"/>
      <c r="M9" s="10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24" customHeight="1" x14ac:dyDescent="0.25">
      <c r="A10" s="103" t="s">
        <v>0</v>
      </c>
      <c r="B10" s="91" t="s">
        <v>106</v>
      </c>
      <c r="C10" s="92" t="s">
        <v>107</v>
      </c>
      <c r="D10" s="86"/>
      <c r="E10" s="90" t="s">
        <v>1</v>
      </c>
      <c r="F10" s="77"/>
      <c r="G10" s="90" t="s">
        <v>19</v>
      </c>
      <c r="H10" s="77"/>
      <c r="I10" s="90" t="s">
        <v>20</v>
      </c>
      <c r="J10" s="77"/>
      <c r="K10" s="90" t="s">
        <v>21</v>
      </c>
      <c r="L10" s="77"/>
      <c r="M10" s="90" t="s">
        <v>22</v>
      </c>
      <c r="N10" s="77"/>
      <c r="O10" s="90" t="s">
        <v>23</v>
      </c>
      <c r="P10" s="77"/>
      <c r="Q10" s="90" t="s">
        <v>24</v>
      </c>
      <c r="R10" s="77"/>
      <c r="S10" s="90" t="s">
        <v>25</v>
      </c>
      <c r="T10" s="77"/>
      <c r="U10" s="8"/>
      <c r="V10" s="8"/>
      <c r="W10" s="8"/>
      <c r="X10" s="8"/>
    </row>
    <row r="11" spans="1:24" ht="24" customHeight="1" x14ac:dyDescent="0.25">
      <c r="A11" s="100"/>
      <c r="B11" s="82"/>
      <c r="C11" s="79"/>
      <c r="D11" s="88"/>
      <c r="E11" s="11" t="s">
        <v>108</v>
      </c>
      <c r="F11" s="12" t="s">
        <v>109</v>
      </c>
      <c r="G11" s="11" t="s">
        <v>108</v>
      </c>
      <c r="H11" s="12" t="s">
        <v>109</v>
      </c>
      <c r="I11" s="11" t="s">
        <v>108</v>
      </c>
      <c r="J11" s="12" t="s">
        <v>109</v>
      </c>
      <c r="K11" s="11" t="s">
        <v>108</v>
      </c>
      <c r="L11" s="12" t="s">
        <v>109</v>
      </c>
      <c r="M11" s="11" t="s">
        <v>108</v>
      </c>
      <c r="N11" s="12" t="s">
        <v>109</v>
      </c>
      <c r="O11" s="11" t="s">
        <v>108</v>
      </c>
      <c r="P11" s="12" t="s">
        <v>109</v>
      </c>
      <c r="Q11" s="11" t="s">
        <v>108</v>
      </c>
      <c r="R11" s="12" t="s">
        <v>109</v>
      </c>
      <c r="S11" s="11" t="s">
        <v>108</v>
      </c>
      <c r="T11" s="12" t="s">
        <v>109</v>
      </c>
      <c r="U11" s="8"/>
      <c r="V11" s="8"/>
      <c r="W11" s="8"/>
      <c r="X11" s="8"/>
    </row>
    <row r="12" spans="1:24" ht="24" customHeight="1" x14ac:dyDescent="0.25">
      <c r="A12" s="93" t="s">
        <v>110</v>
      </c>
      <c r="B12" s="94"/>
      <c r="C12" s="94"/>
      <c r="D12" s="94"/>
      <c r="E12" s="13">
        <v>704</v>
      </c>
      <c r="F12" s="14">
        <v>1</v>
      </c>
      <c r="G12" s="13">
        <v>1039</v>
      </c>
      <c r="H12" s="14">
        <v>1</v>
      </c>
      <c r="I12" s="13">
        <v>1412</v>
      </c>
      <c r="J12" s="14">
        <v>1</v>
      </c>
      <c r="K12" s="13">
        <v>1507</v>
      </c>
      <c r="L12" s="14">
        <v>1</v>
      </c>
      <c r="M12" s="13" t="e">
        <f t="shared" ref="M12:T12" si="0">M21+M20+M19</f>
        <v>#REF!</v>
      </c>
      <c r="N12" s="14" t="e">
        <f t="shared" si="0"/>
        <v>#REF!</v>
      </c>
      <c r="O12" s="13" t="e">
        <f t="shared" si="0"/>
        <v>#REF!</v>
      </c>
      <c r="P12" s="14" t="e">
        <f t="shared" si="0"/>
        <v>#REF!</v>
      </c>
      <c r="Q12" s="13" t="e">
        <f t="shared" si="0"/>
        <v>#REF!</v>
      </c>
      <c r="R12" s="14" t="e">
        <f t="shared" si="0"/>
        <v>#REF!</v>
      </c>
      <c r="S12" s="13" t="e">
        <f t="shared" si="0"/>
        <v>#REF!</v>
      </c>
      <c r="T12" s="14" t="e">
        <f t="shared" si="0"/>
        <v>#REF!</v>
      </c>
      <c r="U12" s="8"/>
      <c r="V12" s="8"/>
      <c r="W12" s="8"/>
      <c r="X12" s="8"/>
    </row>
    <row r="13" spans="1:24" ht="24" customHeight="1" x14ac:dyDescent="0.25">
      <c r="A13" s="104"/>
      <c r="B13" s="105" t="s">
        <v>111</v>
      </c>
      <c r="C13" s="106" t="s">
        <v>112</v>
      </c>
      <c r="D13" s="80"/>
      <c r="E13" s="6">
        <v>19</v>
      </c>
      <c r="F13" s="15">
        <v>2.6988636363636364E-2</v>
      </c>
      <c r="G13" s="6">
        <v>50</v>
      </c>
      <c r="H13" s="15">
        <v>4.8123195380173241E-2</v>
      </c>
      <c r="I13" s="6">
        <v>44</v>
      </c>
      <c r="J13" s="15">
        <v>3.1161473087818695E-2</v>
      </c>
      <c r="K13" s="6">
        <v>54</v>
      </c>
      <c r="L13" s="15">
        <v>3.5832780358327807E-2</v>
      </c>
      <c r="M13" s="6" t="e">
        <f>COUNTIFS(#REF!,"hệ thống biển bảng",#REF!,"người bệnh mới")+COUNTIFS(#REF!,"nb tự đến",#REF!,"người bệnh mới")+COUNTIFS(#REF!,"hệ thống biển bảng",#REF!,"người bệnh cũ",#REF!,"1")+COUNTIFS(#REF!,"nb tự đến",#REF!,"người bệnh cũ",#REF!,"1")</f>
        <v>#REF!</v>
      </c>
      <c r="N13" s="15" t="e">
        <f>M13/M12</f>
        <v>#REF!</v>
      </c>
      <c r="O13" s="6" t="e">
        <f>COUNTIFS(#REF!,"hệ thống biển bảng",#REF!,"người bệnh mới")+COUNTIFS(#REF!,"nb tự đến",#REF!,"người bệnh mới")+COUNTIFS(#REF!,"hệ thống biển bảng",#REF!,"người bệnh cũ",#REF!,"1")+COUNTIFS(#REF!,"nb tự đến",#REF!,"người bệnh cũ",#REF!,"1")</f>
        <v>#REF!</v>
      </c>
      <c r="P13" s="15" t="e">
        <f>O13/O12</f>
        <v>#REF!</v>
      </c>
      <c r="Q13" s="6" t="e">
        <f>COUNTIFS(#REF!,"hệ thống biển bảng",#REF!,"người bệnh mới")+COUNTIFS(#REF!,"nb tự đến",#REF!,"người bệnh mới")+COUNTIFS(#REF!,"hệ thống biển bảng",#REF!,"người bệnh cũ",#REF!,"1")+COUNTIFS(#REF!,"nb tự đến",#REF!,"người bệnh cũ",#REF!,"1")</f>
        <v>#REF!</v>
      </c>
      <c r="R13" s="15" t="e">
        <f>Q13/Q12</f>
        <v>#REF!</v>
      </c>
      <c r="S13" s="6" t="e">
        <f>COUNTIFS(#REF!,"hệ thống biển bảng",#REF!,"người bệnh mới")+COUNTIFS(#REF!,"nb tự đến",#REF!,"người bệnh mới")+COUNTIFS(#REF!,"hệ thống biển bảng",#REF!,"người bệnh cũ",#REF!,"1")+COUNTIFS(#REF!,"nb tự đến",#REF!,"người bệnh cũ",#REF!,"1")</f>
        <v>#REF!</v>
      </c>
      <c r="T13" s="15" t="e">
        <f>S13/S12</f>
        <v>#REF!</v>
      </c>
      <c r="U13" s="8"/>
      <c r="V13" s="8"/>
      <c r="W13" s="8"/>
      <c r="X13" s="8"/>
    </row>
    <row r="14" spans="1:24" ht="24" customHeight="1" x14ac:dyDescent="0.25">
      <c r="A14" s="81"/>
      <c r="B14" s="81"/>
      <c r="C14" s="106" t="s">
        <v>113</v>
      </c>
      <c r="D14" s="80"/>
      <c r="E14" s="6">
        <v>11</v>
      </c>
      <c r="F14" s="15">
        <v>1.5625E-2</v>
      </c>
      <c r="G14" s="6">
        <v>180</v>
      </c>
      <c r="H14" s="15">
        <v>0.17324350336862368</v>
      </c>
      <c r="I14" s="6">
        <v>11</v>
      </c>
      <c r="J14" s="15">
        <v>7.7903682719546738E-3</v>
      </c>
      <c r="K14" s="6">
        <v>3</v>
      </c>
      <c r="L14" s="15">
        <v>1.9907100199071004E-3</v>
      </c>
      <c r="M14" s="6" t="e">
        <f>COUNTIFS(#REF!,"CBNV BV",#REF!,"người bệnh mới")+COUNTIFS(#REF!,"cbnv bv",#REF!,"người bệnh cũ",#REF!,"1")</f>
        <v>#REF!</v>
      </c>
      <c r="N14" s="15" t="e">
        <f>M14/M12</f>
        <v>#REF!</v>
      </c>
      <c r="O14" s="6" t="e">
        <f>COUNTIFS(#REF!,"CBNV BV",#REF!,"người bệnh mới")+COUNTIFS(#REF!,"cbnv bv",#REF!,"người bệnh cũ",#REF!,"1")</f>
        <v>#REF!</v>
      </c>
      <c r="P14" s="15" t="e">
        <f>O14/O12</f>
        <v>#REF!</v>
      </c>
      <c r="Q14" s="6" t="e">
        <f>COUNTIFS(#REF!,"CBNV BV",#REF!,"người bệnh mới")+COUNTIFS(#REF!,"cbnv bv",#REF!,"người bệnh cũ",#REF!,"1")</f>
        <v>#REF!</v>
      </c>
      <c r="R14" s="15" t="e">
        <f>Q14/Q12</f>
        <v>#REF!</v>
      </c>
      <c r="S14" s="6" t="e">
        <f>COUNTIFS(#REF!,"CBNV BV",#REF!,"người bệnh mới")+COUNTIFS(#REF!,"cbnv bv",#REF!,"người bệnh cũ",#REF!,"1")</f>
        <v>#REF!</v>
      </c>
      <c r="T14" s="15" t="e">
        <f>S14/S12</f>
        <v>#REF!</v>
      </c>
      <c r="U14" s="8"/>
      <c r="V14" s="8"/>
      <c r="W14" s="8"/>
      <c r="X14" s="8"/>
    </row>
    <row r="15" spans="1:24" ht="24" customHeight="1" x14ac:dyDescent="0.25">
      <c r="A15" s="81"/>
      <c r="B15" s="81"/>
      <c r="C15" s="106" t="s">
        <v>114</v>
      </c>
      <c r="D15" s="80"/>
      <c r="E15" s="6">
        <v>1</v>
      </c>
      <c r="F15" s="15">
        <v>1.4204545454545455E-3</v>
      </c>
      <c r="G15" s="6">
        <v>3</v>
      </c>
      <c r="H15" s="15">
        <v>2.8873917228103944E-3</v>
      </c>
      <c r="I15" s="6">
        <v>1</v>
      </c>
      <c r="J15" s="15">
        <v>7.0821529745042496E-4</v>
      </c>
      <c r="K15" s="6">
        <v>4</v>
      </c>
      <c r="L15" s="15">
        <v>2.6542800265428003E-3</v>
      </c>
      <c r="M15" s="6" t="e">
        <f>COUNTIFS(#REF!,"người nhà cbnv bv",#REF!,"người bệnh mới")+COUNTIFS(#REF!,"người nhà cbnv bv",#REF!,"người bệnh cũ",#REF!,"1")</f>
        <v>#REF!</v>
      </c>
      <c r="N15" s="15" t="e">
        <f>M15/M12</f>
        <v>#REF!</v>
      </c>
      <c r="O15" s="6" t="e">
        <f>COUNTIFS(#REF!,"người nhà cbnv bv",#REF!,"người bệnh mới")+COUNTIFS(#REF!,"người nhà cbnv bv",#REF!,"người bệnh cũ",#REF!,"1")</f>
        <v>#REF!</v>
      </c>
      <c r="P15" s="15" t="e">
        <f>O15/O12</f>
        <v>#REF!</v>
      </c>
      <c r="Q15" s="6" t="e">
        <f>COUNTIFS(#REF!,"người nhà cbnv bv",#REF!,"người bệnh mới")+COUNTIFS(#REF!,"người nhà cbnv bv",#REF!,"người bệnh cũ",#REF!,"1")</f>
        <v>#REF!</v>
      </c>
      <c r="R15" s="15" t="e">
        <f>Q15/Q12</f>
        <v>#REF!</v>
      </c>
      <c r="S15" s="6" t="e">
        <f>COUNTIFS(#REF!,"người nhà cbnv bv",#REF!,"người bệnh mới")+COUNTIFS(#REF!,"người nhà cbnv bv",#REF!,"người bệnh cũ",#REF!,"1")</f>
        <v>#REF!</v>
      </c>
      <c r="T15" s="15" t="e">
        <f>S15/S12</f>
        <v>#REF!</v>
      </c>
      <c r="U15" s="8"/>
      <c r="V15" s="8"/>
      <c r="W15" s="8"/>
      <c r="X15" s="8"/>
    </row>
    <row r="16" spans="1:24" ht="24" customHeight="1" x14ac:dyDescent="0.25">
      <c r="A16" s="81"/>
      <c r="B16" s="81"/>
      <c r="C16" s="106" t="s">
        <v>115</v>
      </c>
      <c r="D16" s="80"/>
      <c r="E16" s="6">
        <v>1</v>
      </c>
      <c r="F16" s="15">
        <v>1.4204545454545455E-3</v>
      </c>
      <c r="G16" s="6">
        <v>4</v>
      </c>
      <c r="H16" s="15">
        <v>3.8498556304138597E-3</v>
      </c>
      <c r="I16" s="6">
        <v>7</v>
      </c>
      <c r="J16" s="15">
        <v>4.9575070821529744E-3</v>
      </c>
      <c r="K16" s="6">
        <v>8</v>
      </c>
      <c r="L16" s="15">
        <v>5.3085600530856005E-3</v>
      </c>
      <c r="M16" s="6" t="e">
        <f>COUNTIFS(#REF!,"nb cũ",#REF!,"người bệnh mới")+COUNTIFS(#REF!,"nb cũ",#REF!,"người bệnh cũ",#REF!,"1")</f>
        <v>#REF!</v>
      </c>
      <c r="N16" s="15" t="e">
        <f>M16/M12</f>
        <v>#REF!</v>
      </c>
      <c r="O16" s="6" t="e">
        <f>COUNTIFS(#REF!,"nb cũ",#REF!,"người bệnh mới")+COUNTIFS(#REF!,"nb cũ",#REF!,"người bệnh cũ",#REF!,"1")</f>
        <v>#REF!</v>
      </c>
      <c r="P16" s="15" t="e">
        <f>O16/O12</f>
        <v>#REF!</v>
      </c>
      <c r="Q16" s="6" t="e">
        <f>COUNTIFS(#REF!,"nb cũ",#REF!,"người bệnh mới")+COUNTIFS(#REF!,"nb cũ",#REF!,"người bệnh cũ",#REF!,"1")</f>
        <v>#REF!</v>
      </c>
      <c r="R16" s="15" t="e">
        <f>Q16/Q12</f>
        <v>#REF!</v>
      </c>
      <c r="S16" s="6" t="e">
        <f>COUNTIFS(#REF!,"nb cũ",#REF!,"người bệnh mới")+COUNTIFS(#REF!,"nb cũ",#REF!,"người bệnh cũ",#REF!,"1")</f>
        <v>#REF!</v>
      </c>
      <c r="T16" s="15" t="e">
        <f>S16/S12</f>
        <v>#REF!</v>
      </c>
      <c r="U16" s="8"/>
      <c r="V16" s="8"/>
      <c r="W16" s="8"/>
      <c r="X16" s="8"/>
    </row>
    <row r="17" spans="1:24" ht="24" customHeight="1" x14ac:dyDescent="0.25">
      <c r="A17" s="81"/>
      <c r="B17" s="81"/>
      <c r="C17" s="106" t="s">
        <v>116</v>
      </c>
      <c r="D17" s="80"/>
      <c r="E17" s="6">
        <v>17</v>
      </c>
      <c r="F17" s="15">
        <v>2.4147727272727272E-2</v>
      </c>
      <c r="G17" s="6">
        <v>26</v>
      </c>
      <c r="H17" s="15">
        <v>2.5024061597690085E-2</v>
      </c>
      <c r="I17" s="6">
        <v>24</v>
      </c>
      <c r="J17" s="15">
        <v>1.69971671388102E-2</v>
      </c>
      <c r="K17" s="6">
        <v>14</v>
      </c>
      <c r="L17" s="15">
        <v>9.2899800928998005E-3</v>
      </c>
      <c r="M17" s="6" t="e">
        <f>COUNTIFS(#REF!,"nb cũ giới thiệu",#REF!,"người bệnh mới")+COUNTIFS(#REF!,"nb cũ giới thiệu",#REF!,"người bệnh cũ",#REF!,"1")</f>
        <v>#REF!</v>
      </c>
      <c r="N17" s="15" t="e">
        <f>M17/M12</f>
        <v>#REF!</v>
      </c>
      <c r="O17" s="6" t="e">
        <f>COUNTIFS(#REF!,"nb cũ giới thiệu",#REF!,"người bệnh mới")+COUNTIFS(#REF!,"nb cũ giới thiệu",#REF!,"người bệnh cũ",#REF!,"1")</f>
        <v>#REF!</v>
      </c>
      <c r="P17" s="15" t="e">
        <f>O17/O12</f>
        <v>#REF!</v>
      </c>
      <c r="Q17" s="6" t="e">
        <f>COUNTIFS(#REF!,"nb cũ giới thiệu",#REF!,"người bệnh mới")+COUNTIFS(#REF!,"nb cũ giới thiệu",#REF!,"người bệnh cũ",#REF!,"1")</f>
        <v>#REF!</v>
      </c>
      <c r="R17" s="15" t="e">
        <f>Q17/Q12</f>
        <v>#REF!</v>
      </c>
      <c r="S17" s="6" t="e">
        <f>COUNTIFS(#REF!,"nb cũ giới thiệu",#REF!,"người bệnh mới")+COUNTIFS(#REF!,"nb cũ giới thiệu",#REF!,"người bệnh cũ",#REF!,"1")</f>
        <v>#REF!</v>
      </c>
      <c r="T17" s="15" t="e">
        <f>S17/S12</f>
        <v>#REF!</v>
      </c>
      <c r="U17" s="8"/>
      <c r="V17" s="8"/>
      <c r="W17" s="8"/>
      <c r="X17" s="8"/>
    </row>
    <row r="18" spans="1:24" ht="24" customHeight="1" x14ac:dyDescent="0.25">
      <c r="A18" s="81"/>
      <c r="B18" s="81"/>
      <c r="C18" s="106" t="s">
        <v>117</v>
      </c>
      <c r="D18" s="80"/>
      <c r="E18" s="6">
        <v>0</v>
      </c>
      <c r="F18" s="15">
        <v>0</v>
      </c>
      <c r="G18" s="6">
        <v>1</v>
      </c>
      <c r="H18" s="15">
        <v>9.6246390760346492E-4</v>
      </c>
      <c r="I18" s="6">
        <v>4</v>
      </c>
      <c r="J18" s="15">
        <v>2.8328611898016999E-3</v>
      </c>
      <c r="K18" s="6">
        <v>11</v>
      </c>
      <c r="L18" s="15">
        <v>7.2992700729927005E-3</v>
      </c>
      <c r="M18" s="6" t="e">
        <f>COUNTIFS(#REF!,"Bs. Nguyễn Tuấn Anh",#REF!,"người bệnh mới")+COUNTIFS(#REF!,"Bs. Nguyễn Tuấn Anh",#REF!,"người bệnh cũ",#REF!,"1")</f>
        <v>#REF!</v>
      </c>
      <c r="N18" s="15" t="e">
        <f>M18/M12</f>
        <v>#REF!</v>
      </c>
      <c r="O18" s="6" t="e">
        <f>COUNTIFS(#REF!,"Bs. Nguyễn Tuấn Anh",#REF!,"người bệnh mới")+COUNTIFS(#REF!,"Bs. Nguyễn Tuấn Anh",#REF!,"người bệnh cũ",#REF!,"1")</f>
        <v>#REF!</v>
      </c>
      <c r="P18" s="15" t="e">
        <f>O18/O12</f>
        <v>#REF!</v>
      </c>
      <c r="Q18" s="6" t="e">
        <f>COUNTIFS(#REF!,"Bs. Nguyễn Tuấn Anh",#REF!,"người bệnh mới")+COUNTIFS(#REF!,"Bs. Nguyễn Tuấn Anh",#REF!,"người bệnh cũ",#REF!,"1")</f>
        <v>#REF!</v>
      </c>
      <c r="R18" s="15" t="e">
        <f>Q18/Q12</f>
        <v>#REF!</v>
      </c>
      <c r="S18" s="6" t="e">
        <f>COUNTIFS(#REF!,"Bs. Nguyễn Tuấn Anh",#REF!,"người bệnh mới")+COUNTIFS(#REF!,"Bs. Nguyễn Tuấn Anh",#REF!,"người bệnh cũ",#REF!,"1")</f>
        <v>#REF!</v>
      </c>
      <c r="T18" s="15" t="e">
        <f>S18/S12</f>
        <v>#REF!</v>
      </c>
      <c r="U18" s="8"/>
      <c r="V18" s="8"/>
      <c r="W18" s="8"/>
      <c r="X18" s="8"/>
    </row>
    <row r="19" spans="1:24" ht="24" customHeight="1" x14ac:dyDescent="0.25">
      <c r="A19" s="82"/>
      <c r="B19" s="81"/>
      <c r="C19" s="101" t="s">
        <v>118</v>
      </c>
      <c r="D19" s="77"/>
      <c r="E19" s="16">
        <v>49</v>
      </c>
      <c r="F19" s="17">
        <v>6.9602272727272735E-2</v>
      </c>
      <c r="G19" s="16">
        <v>264</v>
      </c>
      <c r="H19" s="17">
        <v>0.25409047160731474</v>
      </c>
      <c r="I19" s="16">
        <v>91</v>
      </c>
      <c r="J19" s="17">
        <v>6.4447592067988668E-2</v>
      </c>
      <c r="K19" s="16">
        <v>94</v>
      </c>
      <c r="L19" s="17">
        <v>6.2375580623755811E-2</v>
      </c>
      <c r="M19" s="16" t="e">
        <f t="shared" ref="M19:T19" si="1">SUM(M13:M18)</f>
        <v>#REF!</v>
      </c>
      <c r="N19" s="17" t="e">
        <f t="shared" si="1"/>
        <v>#REF!</v>
      </c>
      <c r="O19" s="16" t="e">
        <f t="shared" si="1"/>
        <v>#REF!</v>
      </c>
      <c r="P19" s="17" t="e">
        <f t="shared" si="1"/>
        <v>#REF!</v>
      </c>
      <c r="Q19" s="16" t="e">
        <f t="shared" si="1"/>
        <v>#REF!</v>
      </c>
      <c r="R19" s="17" t="e">
        <f t="shared" si="1"/>
        <v>#REF!</v>
      </c>
      <c r="S19" s="16" t="e">
        <f t="shared" si="1"/>
        <v>#REF!</v>
      </c>
      <c r="T19" s="17" t="e">
        <f t="shared" si="1"/>
        <v>#REF!</v>
      </c>
      <c r="U19" s="8"/>
      <c r="V19" s="8"/>
      <c r="W19" s="8"/>
      <c r="X19" s="8"/>
    </row>
    <row r="20" spans="1:24" ht="24" customHeight="1" x14ac:dyDescent="0.25">
      <c r="A20" s="18">
        <v>2</v>
      </c>
      <c r="B20" s="19" t="s">
        <v>119</v>
      </c>
      <c r="C20" s="102"/>
      <c r="D20" s="77"/>
      <c r="E20" s="16">
        <v>274</v>
      </c>
      <c r="F20" s="17">
        <v>0.38920454545454547</v>
      </c>
      <c r="G20" s="16">
        <v>272</v>
      </c>
      <c r="H20" s="17">
        <v>0.26179018286814243</v>
      </c>
      <c r="I20" s="16">
        <v>435</v>
      </c>
      <c r="J20" s="17">
        <v>0.30807365439093487</v>
      </c>
      <c r="K20" s="16">
        <v>328</v>
      </c>
      <c r="L20" s="17">
        <v>0.21765096217650962</v>
      </c>
      <c r="M20" s="16" t="e">
        <f>'[1]Bs Cường'!K8</f>
        <v>#REF!</v>
      </c>
      <c r="N20" s="17" t="e">
        <f>M20/M12</f>
        <v>#REF!</v>
      </c>
      <c r="O20" s="16" t="e">
        <f>'[1]Bs Cường'!M8</f>
        <v>#REF!</v>
      </c>
      <c r="P20" s="17" t="e">
        <f>O20/O12</f>
        <v>#REF!</v>
      </c>
      <c r="Q20" s="16" t="e">
        <f>'[1]Bs Cường'!O8</f>
        <v>#REF!</v>
      </c>
      <c r="R20" s="17" t="e">
        <f>Q20/Q12</f>
        <v>#REF!</v>
      </c>
      <c r="S20" s="16" t="e">
        <f>'[1]Bs Cường'!Y8</f>
        <v>#REF!</v>
      </c>
      <c r="T20" s="17" t="e">
        <f>S20/S12</f>
        <v>#REF!</v>
      </c>
      <c r="U20" s="8"/>
      <c r="V20" s="8"/>
      <c r="W20" s="8"/>
      <c r="X20" s="8"/>
    </row>
    <row r="21" spans="1:24" ht="24" customHeight="1" x14ac:dyDescent="0.25">
      <c r="A21" s="18">
        <v>3</v>
      </c>
      <c r="B21" s="19" t="s">
        <v>120</v>
      </c>
      <c r="C21" s="102"/>
      <c r="D21" s="77"/>
      <c r="E21" s="16">
        <v>381</v>
      </c>
      <c r="F21" s="17">
        <v>0.54119318181818177</v>
      </c>
      <c r="G21" s="16">
        <v>503</v>
      </c>
      <c r="H21" s="17">
        <v>0.48411934552454283</v>
      </c>
      <c r="I21" s="16">
        <v>886</v>
      </c>
      <c r="J21" s="17">
        <v>0.62747875354107652</v>
      </c>
      <c r="K21" s="16">
        <v>1085</v>
      </c>
      <c r="L21" s="17">
        <v>0.7199734571997346</v>
      </c>
      <c r="M21" s="16" t="e">
        <f>#REF!</f>
        <v>#REF!</v>
      </c>
      <c r="N21" s="17" t="e">
        <f>M21/M12</f>
        <v>#REF!</v>
      </c>
      <c r="O21" s="16" t="e">
        <f>#REF!</f>
        <v>#REF!</v>
      </c>
      <c r="P21" s="17" t="e">
        <f>O21/O12</f>
        <v>#REF!</v>
      </c>
      <c r="Q21" s="16" t="e">
        <f>#REF!</f>
        <v>#REF!</v>
      </c>
      <c r="R21" s="17" t="e">
        <f>Q21/Q12</f>
        <v>#REF!</v>
      </c>
      <c r="S21" s="16" t="e">
        <f>#REF!</f>
        <v>#REF!</v>
      </c>
      <c r="T21" s="17" t="e">
        <f>S21/S12</f>
        <v>#REF!</v>
      </c>
      <c r="U21" s="8"/>
      <c r="V21" s="8"/>
      <c r="W21" s="8"/>
      <c r="X21" s="8"/>
    </row>
    <row r="22" spans="1:24" ht="24" customHeight="1" x14ac:dyDescent="0.25">
      <c r="A22" s="3"/>
      <c r="B22" s="8"/>
      <c r="C22" s="8"/>
      <c r="D22" s="8"/>
      <c r="E22" s="4"/>
      <c r="F22" s="4"/>
      <c r="G22" s="10"/>
      <c r="H22" s="10"/>
      <c r="I22" s="4"/>
      <c r="J22" s="10"/>
      <c r="K22" s="10"/>
      <c r="L22" s="10"/>
      <c r="M22" s="10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24" customHeight="1" x14ac:dyDescent="0.25">
      <c r="A23" s="98" t="s">
        <v>121</v>
      </c>
      <c r="B23" s="76"/>
      <c r="C23" s="76"/>
      <c r="D23" s="76"/>
      <c r="E23" s="76"/>
      <c r="F23" s="76"/>
      <c r="G23" s="76"/>
      <c r="H23" s="76"/>
      <c r="I23" s="4"/>
      <c r="J23" s="10"/>
      <c r="K23" s="10"/>
      <c r="L23" s="10"/>
      <c r="M23" s="10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24" customHeight="1" x14ac:dyDescent="0.25">
      <c r="A24" s="98" t="s">
        <v>122</v>
      </c>
      <c r="B24" s="76"/>
      <c r="C24" s="76"/>
      <c r="D24" s="76"/>
      <c r="E24" s="76"/>
      <c r="F24" s="76"/>
      <c r="G24" s="76"/>
      <c r="H24" s="76"/>
      <c r="I24" s="4"/>
      <c r="J24" s="10"/>
      <c r="K24" s="10"/>
      <c r="L24" s="10"/>
      <c r="M24" s="10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24" customHeight="1" x14ac:dyDescent="0.25">
      <c r="A25" s="99" t="s">
        <v>123</v>
      </c>
      <c r="B25" s="78"/>
      <c r="C25" s="78"/>
      <c r="D25" s="86"/>
      <c r="E25" s="107" t="s">
        <v>1</v>
      </c>
      <c r="F25" s="77"/>
      <c r="G25" s="107" t="s">
        <v>19</v>
      </c>
      <c r="H25" s="77"/>
      <c r="I25" s="107" t="s">
        <v>20</v>
      </c>
      <c r="J25" s="77"/>
      <c r="K25" s="107" t="s">
        <v>21</v>
      </c>
      <c r="L25" s="77"/>
      <c r="M25" s="107" t="s">
        <v>22</v>
      </c>
      <c r="N25" s="77"/>
      <c r="O25" s="107" t="s">
        <v>23</v>
      </c>
      <c r="P25" s="77"/>
      <c r="Q25" s="107" t="s">
        <v>24</v>
      </c>
      <c r="R25" s="77"/>
      <c r="S25" s="107" t="s">
        <v>25</v>
      </c>
      <c r="T25" s="77"/>
      <c r="U25" s="8"/>
      <c r="V25" s="8"/>
      <c r="W25" s="8"/>
      <c r="X25" s="8"/>
    </row>
    <row r="26" spans="1:24" ht="24" customHeight="1" x14ac:dyDescent="0.25">
      <c r="A26" s="100"/>
      <c r="B26" s="79"/>
      <c r="C26" s="79"/>
      <c r="D26" s="88"/>
      <c r="E26" s="20" t="s">
        <v>124</v>
      </c>
      <c r="F26" s="21" t="s">
        <v>125</v>
      </c>
      <c r="G26" s="20" t="s">
        <v>124</v>
      </c>
      <c r="H26" s="21" t="s">
        <v>125</v>
      </c>
      <c r="I26" s="20" t="s">
        <v>124</v>
      </c>
      <c r="J26" s="21" t="s">
        <v>125</v>
      </c>
      <c r="K26" s="20" t="s">
        <v>124</v>
      </c>
      <c r="L26" s="21" t="s">
        <v>125</v>
      </c>
      <c r="M26" s="20" t="s">
        <v>124</v>
      </c>
      <c r="N26" s="21" t="s">
        <v>125</v>
      </c>
      <c r="O26" s="20" t="s">
        <v>124</v>
      </c>
      <c r="P26" s="21" t="s">
        <v>125</v>
      </c>
      <c r="Q26" s="20" t="s">
        <v>124</v>
      </c>
      <c r="R26" s="21" t="s">
        <v>125</v>
      </c>
      <c r="S26" s="20" t="s">
        <v>124</v>
      </c>
      <c r="T26" s="21" t="s">
        <v>125</v>
      </c>
      <c r="U26" s="8"/>
      <c r="V26" s="8"/>
      <c r="W26" s="8"/>
      <c r="X26" s="8"/>
    </row>
    <row r="27" spans="1:24" ht="24" customHeight="1" x14ac:dyDescent="0.25">
      <c r="A27" s="108" t="s">
        <v>126</v>
      </c>
      <c r="B27" s="76"/>
      <c r="C27" s="76"/>
      <c r="D27" s="80"/>
      <c r="E27" s="22">
        <v>1</v>
      </c>
      <c r="F27" s="23">
        <v>2.05761316872428E-3</v>
      </c>
      <c r="G27" s="22">
        <v>8</v>
      </c>
      <c r="H27" s="23">
        <v>1.1560693641618497E-2</v>
      </c>
      <c r="I27" s="22">
        <v>0</v>
      </c>
      <c r="J27" s="23">
        <v>0</v>
      </c>
      <c r="K27" s="22">
        <v>0</v>
      </c>
      <c r="L27" s="23">
        <v>0</v>
      </c>
      <c r="M27" s="22" t="e">
        <f>COUNTIFS(#REF!,"&lt;0",#REF!,"&lt;11",#REF!,"người bệnh mới")</f>
        <v>#REF!</v>
      </c>
      <c r="N27" s="23" t="e">
        <f>M27/M34</f>
        <v>#REF!</v>
      </c>
      <c r="O27" s="22" t="e">
        <f>COUNTIFS(#REF!,"&lt;0",#REF!,"&lt;11",#REF!,"người bệnh mới")</f>
        <v>#REF!</v>
      </c>
      <c r="P27" s="23" t="e">
        <f>O27/O34</f>
        <v>#REF!</v>
      </c>
      <c r="Q27" s="22" t="e">
        <f>COUNTIFS(#REF!,"&lt;0",#REF!,"&lt;11",#REF!,"người bệnh mới")</f>
        <v>#REF!</v>
      </c>
      <c r="R27" s="23" t="e">
        <f>Q27/Q34</f>
        <v>#REF!</v>
      </c>
      <c r="S27" s="22" t="e">
        <f>COUNTIFS(#REF!,"&lt;0",#REF!,"&lt;11",#REF!,"người bệnh mới")</f>
        <v>#REF!</v>
      </c>
      <c r="T27" s="23" t="e">
        <f>S27/S34</f>
        <v>#REF!</v>
      </c>
      <c r="U27" s="8"/>
      <c r="V27" s="8"/>
      <c r="W27" s="8"/>
      <c r="X27" s="8"/>
    </row>
    <row r="28" spans="1:24" ht="24" customHeight="1" x14ac:dyDescent="0.25">
      <c r="A28" s="108" t="s">
        <v>127</v>
      </c>
      <c r="B28" s="76"/>
      <c r="C28" s="76"/>
      <c r="D28" s="80"/>
      <c r="E28" s="22">
        <v>3</v>
      </c>
      <c r="F28" s="23">
        <v>6.1728395061728392E-3</v>
      </c>
      <c r="G28" s="22">
        <v>8</v>
      </c>
      <c r="H28" s="23">
        <v>1.1560693641618497E-2</v>
      </c>
      <c r="I28" s="22">
        <v>10</v>
      </c>
      <c r="J28" s="23">
        <v>1.040582726326743E-2</v>
      </c>
      <c r="K28" s="22">
        <v>34</v>
      </c>
      <c r="L28" s="23">
        <v>1.7561983471074381E-2</v>
      </c>
      <c r="M28" s="22" t="e">
        <f>COUNTIFS(#REF!,"&gt;10",#REF!,"&lt;21",#REF!,"người bệnh mới")</f>
        <v>#REF!</v>
      </c>
      <c r="N28" s="23" t="e">
        <f>M28/M34</f>
        <v>#REF!</v>
      </c>
      <c r="O28" s="22" t="e">
        <f>COUNTIFS(#REF!,"&gt;10",#REF!,"&lt;21",#REF!,"người bệnh mới")</f>
        <v>#REF!</v>
      </c>
      <c r="P28" s="23" t="e">
        <f>O28/O34</f>
        <v>#REF!</v>
      </c>
      <c r="Q28" s="22" t="e">
        <f>COUNTIFS(#REF!,"&gt;10",#REF!,"&lt;21",#REF!,"người bệnh mới")</f>
        <v>#REF!</v>
      </c>
      <c r="R28" s="23" t="e">
        <f>Q28/Q34</f>
        <v>#REF!</v>
      </c>
      <c r="S28" s="22" t="e">
        <f>COUNTIFS(#REF!,"&gt;10",#REF!,"&lt;21",#REF!,"người bệnh mới")</f>
        <v>#REF!</v>
      </c>
      <c r="T28" s="23" t="e">
        <f>S28/S34</f>
        <v>#REF!</v>
      </c>
      <c r="U28" s="8"/>
      <c r="V28" s="8"/>
      <c r="W28" s="8"/>
      <c r="X28" s="8"/>
    </row>
    <row r="29" spans="1:24" ht="24" customHeight="1" x14ac:dyDescent="0.25">
      <c r="A29" s="108" t="s">
        <v>128</v>
      </c>
      <c r="B29" s="76"/>
      <c r="C29" s="76"/>
      <c r="D29" s="80"/>
      <c r="E29" s="22">
        <v>105</v>
      </c>
      <c r="F29" s="23">
        <v>0.21604938271604937</v>
      </c>
      <c r="G29" s="22">
        <v>182</v>
      </c>
      <c r="H29" s="23">
        <v>0.26300578034682082</v>
      </c>
      <c r="I29" s="22">
        <v>222</v>
      </c>
      <c r="J29" s="23">
        <v>0.23100936524453694</v>
      </c>
      <c r="K29" s="22">
        <v>566</v>
      </c>
      <c r="L29" s="23">
        <v>0.29235537190082644</v>
      </c>
      <c r="M29" s="22" t="e">
        <f>COUNTIFS(#REF!,"&gt;20",#REF!,"&lt;31",#REF!,"người bệnh mới")+1</f>
        <v>#REF!</v>
      </c>
      <c r="N29" s="23" t="e">
        <f>M29/M34</f>
        <v>#REF!</v>
      </c>
      <c r="O29" s="22" t="e">
        <f>COUNTIFS(#REF!,"&gt;20",#REF!,"&lt;31",#REF!,"người bệnh mới")+1</f>
        <v>#REF!</v>
      </c>
      <c r="P29" s="23" t="e">
        <f>O29/O34</f>
        <v>#REF!</v>
      </c>
      <c r="Q29" s="22" t="e">
        <f>COUNTIFS(#REF!,"&gt;20",#REF!,"&lt;31",#REF!,"người bệnh mới")+1</f>
        <v>#REF!</v>
      </c>
      <c r="R29" s="23" t="e">
        <f>Q29/Q34</f>
        <v>#REF!</v>
      </c>
      <c r="S29" s="22" t="e">
        <f>COUNTIFS(#REF!,"&gt;20",#REF!,"&lt;31",#REF!,"người bệnh mới")+1</f>
        <v>#REF!</v>
      </c>
      <c r="T29" s="23" t="e">
        <f>S29/S34</f>
        <v>#REF!</v>
      </c>
      <c r="U29" s="8"/>
      <c r="V29" s="8"/>
      <c r="W29" s="8"/>
      <c r="X29" s="8"/>
    </row>
    <row r="30" spans="1:24" ht="24" customHeight="1" x14ac:dyDescent="0.25">
      <c r="A30" s="108" t="s">
        <v>129</v>
      </c>
      <c r="B30" s="76"/>
      <c r="C30" s="76"/>
      <c r="D30" s="80"/>
      <c r="E30" s="22">
        <v>289</v>
      </c>
      <c r="F30" s="23">
        <v>0.59465020576131689</v>
      </c>
      <c r="G30" s="22">
        <v>355</v>
      </c>
      <c r="H30" s="23">
        <v>0.51300578034682076</v>
      </c>
      <c r="I30" s="22">
        <v>552</v>
      </c>
      <c r="J30" s="23">
        <v>0.57440166493236211</v>
      </c>
      <c r="K30" s="22">
        <v>999</v>
      </c>
      <c r="L30" s="23">
        <v>0.51601239669421484</v>
      </c>
      <c r="M30" s="22" t="e">
        <f>COUNTIFS(#REF!,"&gt;30",#REF!,"&lt;41",#REF!,"người bệnh mới")</f>
        <v>#REF!</v>
      </c>
      <c r="N30" s="23" t="e">
        <f>M30/M34</f>
        <v>#REF!</v>
      </c>
      <c r="O30" s="22" t="e">
        <f>COUNTIFS(#REF!,"&gt;30",#REF!,"&lt;41",#REF!,"người bệnh mới")</f>
        <v>#REF!</v>
      </c>
      <c r="P30" s="23" t="e">
        <f>O30/O34</f>
        <v>#REF!</v>
      </c>
      <c r="Q30" s="22" t="e">
        <f>COUNTIFS(#REF!,"&gt;30",#REF!,"&lt;41",#REF!,"người bệnh mới")</f>
        <v>#REF!</v>
      </c>
      <c r="R30" s="23" t="e">
        <f>Q30/Q34</f>
        <v>#REF!</v>
      </c>
      <c r="S30" s="22" t="e">
        <f>COUNTIFS(#REF!,"&gt;30",#REF!,"&lt;41",#REF!,"người bệnh mới")</f>
        <v>#REF!</v>
      </c>
      <c r="T30" s="23" t="e">
        <f>S30/S34</f>
        <v>#REF!</v>
      </c>
      <c r="U30" s="8"/>
      <c r="V30" s="8"/>
      <c r="W30" s="8"/>
      <c r="X30" s="8"/>
    </row>
    <row r="31" spans="1:24" ht="24" customHeight="1" x14ac:dyDescent="0.25">
      <c r="A31" s="108" t="s">
        <v>130</v>
      </c>
      <c r="B31" s="76"/>
      <c r="C31" s="76"/>
      <c r="D31" s="80"/>
      <c r="E31" s="22">
        <v>77</v>
      </c>
      <c r="F31" s="23">
        <v>0.15843621399176955</v>
      </c>
      <c r="G31" s="22">
        <v>117</v>
      </c>
      <c r="H31" s="23">
        <v>0.16907514450867053</v>
      </c>
      <c r="I31" s="22">
        <v>165</v>
      </c>
      <c r="J31" s="23">
        <v>0.1716961498439126</v>
      </c>
      <c r="K31" s="22">
        <v>298</v>
      </c>
      <c r="L31" s="23">
        <v>0.15392561983471073</v>
      </c>
      <c r="M31" s="22" t="e">
        <f>COUNTIFS(#REF!,"&gt;40",#REF!,"&lt;51",#REF!,"người bệnh mới")</f>
        <v>#REF!</v>
      </c>
      <c r="N31" s="23" t="e">
        <f>M31/M34</f>
        <v>#REF!</v>
      </c>
      <c r="O31" s="22" t="e">
        <f>COUNTIFS(#REF!,"&gt;40",#REF!,"&lt;51",#REF!,"người bệnh mới")</f>
        <v>#REF!</v>
      </c>
      <c r="P31" s="23" t="e">
        <f>O31/O34</f>
        <v>#REF!</v>
      </c>
      <c r="Q31" s="22" t="e">
        <f>COUNTIFS(#REF!,"&gt;40",#REF!,"&lt;51",#REF!,"người bệnh mới")</f>
        <v>#REF!</v>
      </c>
      <c r="R31" s="23" t="e">
        <f>Q31/Q34</f>
        <v>#REF!</v>
      </c>
      <c r="S31" s="22" t="e">
        <f>COUNTIFS(#REF!,"&gt;40",#REF!,"&lt;51",#REF!,"người bệnh mới")</f>
        <v>#REF!</v>
      </c>
      <c r="T31" s="23" t="e">
        <f>S31/S34</f>
        <v>#REF!</v>
      </c>
      <c r="U31" s="8"/>
      <c r="V31" s="8"/>
      <c r="W31" s="8"/>
      <c r="X31" s="8"/>
    </row>
    <row r="32" spans="1:24" ht="24" customHeight="1" x14ac:dyDescent="0.25">
      <c r="A32" s="108" t="s">
        <v>131</v>
      </c>
      <c r="B32" s="76"/>
      <c r="C32" s="76"/>
      <c r="D32" s="80"/>
      <c r="E32" s="22">
        <v>10</v>
      </c>
      <c r="F32" s="23">
        <v>2.0576131687242798E-2</v>
      </c>
      <c r="G32" s="22">
        <v>18</v>
      </c>
      <c r="H32" s="23">
        <v>2.6011560693641619E-2</v>
      </c>
      <c r="I32" s="22">
        <v>10</v>
      </c>
      <c r="J32" s="23">
        <v>1.040582726326743E-2</v>
      </c>
      <c r="K32" s="22">
        <v>32</v>
      </c>
      <c r="L32" s="23">
        <v>1.6528925619834711E-2</v>
      </c>
      <c r="M32" s="22" t="e">
        <f>COUNTIFS(#REF!,"&gt;50",#REF!,"&lt;61",#REF!,"người bệnh mới")</f>
        <v>#REF!</v>
      </c>
      <c r="N32" s="23" t="e">
        <f>M32/M34</f>
        <v>#REF!</v>
      </c>
      <c r="O32" s="22" t="e">
        <f>COUNTIFS(#REF!,"&gt;50",#REF!,"&lt;61",#REF!,"người bệnh mới")</f>
        <v>#REF!</v>
      </c>
      <c r="P32" s="23" t="e">
        <f>O32/O34</f>
        <v>#REF!</v>
      </c>
      <c r="Q32" s="22" t="e">
        <f>COUNTIFS(#REF!,"&gt;50",#REF!,"&lt;61",#REF!,"người bệnh mới")</f>
        <v>#REF!</v>
      </c>
      <c r="R32" s="23" t="e">
        <f>Q32/Q34</f>
        <v>#REF!</v>
      </c>
      <c r="S32" s="22" t="e">
        <f>COUNTIFS(#REF!,"&gt;50",#REF!,"&lt;61",#REF!,"người bệnh mới")</f>
        <v>#REF!</v>
      </c>
      <c r="T32" s="23" t="e">
        <f>S32/S34</f>
        <v>#REF!</v>
      </c>
      <c r="U32" s="8"/>
      <c r="V32" s="8"/>
      <c r="W32" s="8"/>
      <c r="X32" s="8"/>
    </row>
    <row r="33" spans="1:24" ht="24" customHeight="1" x14ac:dyDescent="0.25">
      <c r="A33" s="108" t="s">
        <v>132</v>
      </c>
      <c r="B33" s="76"/>
      <c r="C33" s="76"/>
      <c r="D33" s="80"/>
      <c r="E33" s="22">
        <v>1</v>
      </c>
      <c r="F33" s="23">
        <v>2.05761316872428E-3</v>
      </c>
      <c r="G33" s="22">
        <v>4</v>
      </c>
      <c r="H33" s="23">
        <v>5.7803468208092483E-3</v>
      </c>
      <c r="I33" s="22">
        <v>2</v>
      </c>
      <c r="J33" s="23">
        <v>2.0811654526534861E-3</v>
      </c>
      <c r="K33" s="22">
        <v>7</v>
      </c>
      <c r="L33" s="23">
        <v>3.6157024793388431E-3</v>
      </c>
      <c r="M33" s="22" t="e">
        <f>COUNTIFS(#REF!,"&gt;60",#REF!,"&lt;71",#REF!,"người bệnh mới")</f>
        <v>#REF!</v>
      </c>
      <c r="N33" s="23" t="e">
        <f>M33/M34</f>
        <v>#REF!</v>
      </c>
      <c r="O33" s="22" t="e">
        <f>COUNTIFS(#REF!,"&gt;60",#REF!,"&lt;71",#REF!,"người bệnh mới")</f>
        <v>#REF!</v>
      </c>
      <c r="P33" s="23" t="e">
        <f>O33/O34</f>
        <v>#REF!</v>
      </c>
      <c r="Q33" s="22" t="e">
        <f>COUNTIFS(#REF!,"&gt;60",#REF!,"&lt;71",#REF!,"người bệnh mới")</f>
        <v>#REF!</v>
      </c>
      <c r="R33" s="23" t="e">
        <f>Q33/Q34</f>
        <v>#REF!</v>
      </c>
      <c r="S33" s="22" t="e">
        <f>COUNTIFS(#REF!,"&gt;60",#REF!,"&lt;71",#REF!,"người bệnh mới")</f>
        <v>#REF!</v>
      </c>
      <c r="T33" s="23" t="e">
        <f>S33/S34</f>
        <v>#REF!</v>
      </c>
      <c r="U33" s="8"/>
      <c r="V33" s="8"/>
      <c r="W33" s="8"/>
      <c r="X33" s="8"/>
    </row>
    <row r="34" spans="1:24" ht="24" customHeight="1" x14ac:dyDescent="0.25">
      <c r="A34" s="107" t="s">
        <v>133</v>
      </c>
      <c r="B34" s="94"/>
      <c r="C34" s="94"/>
      <c r="D34" s="77"/>
      <c r="E34" s="24">
        <v>486</v>
      </c>
      <c r="F34" s="25">
        <v>1</v>
      </c>
      <c r="G34" s="24">
        <v>692</v>
      </c>
      <c r="H34" s="25">
        <v>1</v>
      </c>
      <c r="I34" s="24">
        <v>961</v>
      </c>
      <c r="J34" s="25">
        <v>1</v>
      </c>
      <c r="K34" s="24">
        <v>976</v>
      </c>
      <c r="L34" s="25">
        <v>1</v>
      </c>
      <c r="M34" s="24" t="e">
        <f t="shared" ref="M34:T34" si="2">SUM(M27:M33)</f>
        <v>#REF!</v>
      </c>
      <c r="N34" s="25" t="e">
        <f t="shared" si="2"/>
        <v>#REF!</v>
      </c>
      <c r="O34" s="24" t="e">
        <f t="shared" si="2"/>
        <v>#REF!</v>
      </c>
      <c r="P34" s="25" t="e">
        <f t="shared" si="2"/>
        <v>#REF!</v>
      </c>
      <c r="Q34" s="24" t="e">
        <f t="shared" si="2"/>
        <v>#REF!</v>
      </c>
      <c r="R34" s="25" t="e">
        <f t="shared" si="2"/>
        <v>#REF!</v>
      </c>
      <c r="S34" s="24" t="e">
        <f t="shared" si="2"/>
        <v>#REF!</v>
      </c>
      <c r="T34" s="25" t="e">
        <f t="shared" si="2"/>
        <v>#REF!</v>
      </c>
      <c r="U34" s="8"/>
      <c r="V34" s="8"/>
      <c r="W34" s="8"/>
      <c r="X34" s="8"/>
    </row>
    <row r="35" spans="1:24" ht="24" customHeight="1" x14ac:dyDescent="0.25">
      <c r="A35" s="3"/>
      <c r="B35" s="8"/>
      <c r="C35" s="8"/>
      <c r="D35" s="8"/>
      <c r="E35" s="4"/>
      <c r="F35" s="4"/>
      <c r="G35" s="10"/>
      <c r="H35" s="10"/>
      <c r="I35" s="4"/>
      <c r="J35" s="10"/>
      <c r="K35" s="10"/>
      <c r="L35" s="10"/>
      <c r="M35" s="10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24" customHeight="1" x14ac:dyDescent="0.25">
      <c r="A36" s="98" t="s">
        <v>134</v>
      </c>
      <c r="B36" s="76"/>
      <c r="C36" s="76"/>
      <c r="D36" s="76"/>
      <c r="E36" s="76"/>
      <c r="F36" s="76"/>
      <c r="G36" s="76"/>
      <c r="H36" s="76"/>
      <c r="I36" s="4"/>
      <c r="J36" s="10"/>
      <c r="K36" s="10"/>
      <c r="L36" s="10"/>
      <c r="M36" s="10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24" customHeight="1" x14ac:dyDescent="0.25">
      <c r="A37" s="92" t="s">
        <v>135</v>
      </c>
      <c r="B37" s="78"/>
      <c r="C37" s="78"/>
      <c r="D37" s="86"/>
      <c r="E37" s="95" t="s">
        <v>1</v>
      </c>
      <c r="F37" s="86"/>
      <c r="G37" s="95" t="s">
        <v>19</v>
      </c>
      <c r="H37" s="86"/>
      <c r="I37" s="95" t="s">
        <v>20</v>
      </c>
      <c r="J37" s="86"/>
      <c r="K37" s="95" t="s">
        <v>21</v>
      </c>
      <c r="L37" s="86"/>
      <c r="M37" s="95" t="s">
        <v>22</v>
      </c>
      <c r="N37" s="86"/>
      <c r="O37" s="95" t="s">
        <v>23</v>
      </c>
      <c r="P37" s="86"/>
      <c r="Q37" s="95" t="s">
        <v>24</v>
      </c>
      <c r="R37" s="86"/>
      <c r="S37" s="95" t="s">
        <v>25</v>
      </c>
      <c r="T37" s="86"/>
      <c r="U37" s="8"/>
      <c r="V37" s="8"/>
      <c r="W37" s="8"/>
      <c r="X37" s="8"/>
    </row>
    <row r="38" spans="1:24" ht="24" customHeight="1" x14ac:dyDescent="0.25">
      <c r="A38" s="79"/>
      <c r="B38" s="79"/>
      <c r="C38" s="79"/>
      <c r="D38" s="88"/>
      <c r="E38" s="26" t="s">
        <v>124</v>
      </c>
      <c r="F38" s="27" t="s">
        <v>125</v>
      </c>
      <c r="G38" s="26" t="s">
        <v>124</v>
      </c>
      <c r="H38" s="27" t="s">
        <v>125</v>
      </c>
      <c r="I38" s="26" t="s">
        <v>124</v>
      </c>
      <c r="J38" s="27" t="s">
        <v>125</v>
      </c>
      <c r="K38" s="26" t="s">
        <v>124</v>
      </c>
      <c r="L38" s="27" t="s">
        <v>125</v>
      </c>
      <c r="M38" s="26" t="s">
        <v>124</v>
      </c>
      <c r="N38" s="27" t="s">
        <v>125</v>
      </c>
      <c r="O38" s="26" t="s">
        <v>124</v>
      </c>
      <c r="P38" s="27" t="s">
        <v>125</v>
      </c>
      <c r="Q38" s="26" t="s">
        <v>124</v>
      </c>
      <c r="R38" s="27" t="s">
        <v>125</v>
      </c>
      <c r="S38" s="26" t="s">
        <v>124</v>
      </c>
      <c r="T38" s="27" t="s">
        <v>125</v>
      </c>
      <c r="U38" s="8"/>
      <c r="V38" s="8"/>
      <c r="W38" s="8"/>
      <c r="X38" s="8"/>
    </row>
    <row r="39" spans="1:24" ht="24" customHeight="1" x14ac:dyDescent="0.25">
      <c r="A39" s="109" t="s">
        <v>136</v>
      </c>
      <c r="B39" s="78"/>
      <c r="C39" s="78"/>
      <c r="D39" s="78"/>
      <c r="E39" s="28">
        <v>239</v>
      </c>
      <c r="F39" s="29">
        <v>0.49176954732510286</v>
      </c>
      <c r="G39" s="28">
        <v>353</v>
      </c>
      <c r="H39" s="29">
        <v>0.51011560693641622</v>
      </c>
      <c r="I39" s="28">
        <v>376</v>
      </c>
      <c r="J39" s="29">
        <v>0.39125910509885536</v>
      </c>
      <c r="K39" s="28">
        <v>916</v>
      </c>
      <c r="L39" s="29">
        <v>0.447265625</v>
      </c>
      <c r="M39" s="28" t="e">
        <f>SUM(M40:M45)</f>
        <v>#REF!</v>
      </c>
      <c r="N39" s="29" t="e">
        <f>M39/M113</f>
        <v>#REF!</v>
      </c>
      <c r="O39" s="28" t="e">
        <f>SUM(O40:O45)</f>
        <v>#REF!</v>
      </c>
      <c r="P39" s="29" t="e">
        <f>O39/O113</f>
        <v>#REF!</v>
      </c>
      <c r="Q39" s="28" t="e">
        <f>SUM(Q40:Q45)</f>
        <v>#REF!</v>
      </c>
      <c r="R39" s="29" t="e">
        <f>Q39/Q113</f>
        <v>#REF!</v>
      </c>
      <c r="S39" s="28" t="e">
        <f>SUM(S40:S45)</f>
        <v>#REF!</v>
      </c>
      <c r="T39" s="29" t="e">
        <f>S39/S113</f>
        <v>#REF!</v>
      </c>
      <c r="U39" s="8"/>
      <c r="V39" s="8"/>
      <c r="W39" s="8"/>
      <c r="X39" s="8"/>
    </row>
    <row r="40" spans="1:24" ht="24" customHeight="1" x14ac:dyDescent="0.25">
      <c r="A40" s="110" t="s">
        <v>137</v>
      </c>
      <c r="B40" s="76"/>
      <c r="C40" s="76"/>
      <c r="D40" s="76"/>
      <c r="E40" s="7">
        <v>172</v>
      </c>
      <c r="F40" s="23">
        <v>0.35390946502057613</v>
      </c>
      <c r="G40" s="7">
        <v>253</v>
      </c>
      <c r="H40" s="23">
        <v>0.36560693641618497</v>
      </c>
      <c r="I40" s="7">
        <v>235</v>
      </c>
      <c r="J40" s="23">
        <v>0.24453694068678461</v>
      </c>
      <c r="K40" s="7">
        <v>631</v>
      </c>
      <c r="L40" s="23">
        <v>0.30810546875</v>
      </c>
      <c r="M40" s="7" t="e">
        <f>COUNTIFS(#REF!,"*HCM",#REF!,"người bệnh mới")+COUNTIFS(#REF!,"*HỒ CHÍ MINH",#REF!,"người bệnh mới")+COUNTIFS(#REF!,"*TP.HỒ CHÍ MINH",#REF!,"người bệnh mới")+COUNTIFS(#REF!,"*TP.HCM",#REF!,"người bệnh mới")+COUNTIFS(#REF!,"*THÀNH PHỐ HỒ CHÍ MINH",#REF!,"người bệnh mới")+COUNTIFS(#REF!,"*TP. HỒ CHÍ MINH",#REF!,"người bệnh mới")-97-12</f>
        <v>#REF!</v>
      </c>
      <c r="N40" s="23" t="e">
        <f>M40/M113</f>
        <v>#REF!</v>
      </c>
      <c r="O40" s="7" t="e">
        <f>COUNTIFS(#REF!,"*HCM",#REF!,"người bệnh mới")+COUNTIFS(#REF!,"*HỒ CHÍ MINH",#REF!,"người bệnh mới")+COUNTIFS(#REF!,"*TP.HỒ CHÍ MINH",#REF!,"người bệnh mới")+COUNTIFS(#REF!,"*TP.HCM",#REF!,"người bệnh mới")+COUNTIFS(#REF!,"*THÀNH PHỐ HỒ CHÍ MINH",#REF!,"người bệnh mới")+COUNTIFS(#REF!,"*TP. HỒ CHÍ MINH",#REF!,"người bệnh mới")-97-12</f>
        <v>#REF!</v>
      </c>
      <c r="P40" s="23" t="e">
        <f>O40/O113</f>
        <v>#REF!</v>
      </c>
      <c r="Q40" s="7" t="e">
        <f>COUNTIFS(#REF!,"*HCM",#REF!,"người bệnh mới")+COUNTIFS(#REF!,"*HỒ CHÍ MINH",#REF!,"người bệnh mới")+COUNTIFS(#REF!,"*TP.HỒ CHÍ MINH",#REF!,"người bệnh mới")+COUNTIFS(#REF!,"*TP.HCM",#REF!,"người bệnh mới")+COUNTIFS(#REF!,"*THÀNH PHỐ HỒ CHÍ MINH",#REF!,"người bệnh mới")+COUNTIFS(#REF!,"*TP. HỒ CHÍ MINH",#REF!,"người bệnh mới")-97-12</f>
        <v>#REF!</v>
      </c>
      <c r="R40" s="23" t="e">
        <f>Q40/Q113</f>
        <v>#REF!</v>
      </c>
      <c r="S40" s="7" t="e">
        <f>COUNTIFS(#REF!,"*HCM",#REF!,"người bệnh mới")+COUNTIFS(#REF!,"*HỒ CHÍ MINH",#REF!,"người bệnh mới")+COUNTIFS(#REF!,"*TP.HỒ CHÍ MINH",#REF!,"người bệnh mới")+COUNTIFS(#REF!,"*TP.HCM",#REF!,"người bệnh mới")+COUNTIFS(#REF!,"*THÀNH PHỐ HỒ CHÍ MINH",#REF!,"người bệnh mới")+COUNTIFS(#REF!,"*TP. HỒ CHÍ MINH",#REF!,"người bệnh mới")-97-12</f>
        <v>#REF!</v>
      </c>
      <c r="T40" s="23" t="e">
        <f>S40/S113</f>
        <v>#REF!</v>
      </c>
      <c r="U40" s="8"/>
      <c r="V40" s="8"/>
      <c r="W40" s="8"/>
      <c r="X40" s="8"/>
    </row>
    <row r="41" spans="1:24" ht="24" customHeight="1" x14ac:dyDescent="0.25">
      <c r="A41" s="110" t="s">
        <v>138</v>
      </c>
      <c r="B41" s="76"/>
      <c r="C41" s="76"/>
      <c r="D41" s="76"/>
      <c r="E41" s="7">
        <v>20</v>
      </c>
      <c r="F41" s="23">
        <v>4.1152263374485597E-2</v>
      </c>
      <c r="G41" s="7">
        <v>33</v>
      </c>
      <c r="H41" s="23">
        <v>4.7687861271676298E-2</v>
      </c>
      <c r="I41" s="7">
        <v>32</v>
      </c>
      <c r="J41" s="23">
        <v>3.3298647242455778E-2</v>
      </c>
      <c r="K41" s="7">
        <v>68</v>
      </c>
      <c r="L41" s="23">
        <v>3.3203125E-2</v>
      </c>
      <c r="M41" s="7" t="e">
        <f>COUNTIFS(#REF!,"*bình dương",#REF!,"người bệnh mới")</f>
        <v>#REF!</v>
      </c>
      <c r="N41" s="23" t="e">
        <f>M41/M113</f>
        <v>#REF!</v>
      </c>
      <c r="O41" s="7" t="e">
        <f>COUNTIFS(#REF!,"*bình dương",#REF!,"người bệnh mới")</f>
        <v>#REF!</v>
      </c>
      <c r="P41" s="23" t="e">
        <f>O41/O113</f>
        <v>#REF!</v>
      </c>
      <c r="Q41" s="7" t="e">
        <f>COUNTIFS(#REF!,"*bình dương",#REF!,"người bệnh mới")</f>
        <v>#REF!</v>
      </c>
      <c r="R41" s="23" t="e">
        <f>Q41/Q113</f>
        <v>#REF!</v>
      </c>
      <c r="S41" s="7" t="e">
        <f>COUNTIFS(#REF!,"*bình dương",#REF!,"người bệnh mới")</f>
        <v>#REF!</v>
      </c>
      <c r="T41" s="23" t="e">
        <f>S41/S113</f>
        <v>#REF!</v>
      </c>
      <c r="U41" s="8"/>
      <c r="V41" s="8"/>
      <c r="W41" s="8"/>
      <c r="X41" s="8"/>
    </row>
    <row r="42" spans="1:24" ht="24" customHeight="1" x14ac:dyDescent="0.25">
      <c r="A42" s="110" t="s">
        <v>139</v>
      </c>
      <c r="B42" s="76"/>
      <c r="C42" s="76"/>
      <c r="D42" s="76"/>
      <c r="E42" s="7">
        <v>9</v>
      </c>
      <c r="F42" s="23">
        <v>1.8518518518518517E-2</v>
      </c>
      <c r="G42" s="7">
        <v>10</v>
      </c>
      <c r="H42" s="23">
        <v>1.4450867052023121E-2</v>
      </c>
      <c r="I42" s="7">
        <v>28</v>
      </c>
      <c r="J42" s="23">
        <v>2.9136316337148804E-2</v>
      </c>
      <c r="K42" s="7">
        <v>52</v>
      </c>
      <c r="L42" s="23">
        <v>2.5390625E-2</v>
      </c>
      <c r="M42" s="7" t="e">
        <f>COUNTIFS(#REF!,"*bình phước",#REF!,"người bệnh mới")</f>
        <v>#REF!</v>
      </c>
      <c r="N42" s="23" t="e">
        <f>M42/M113</f>
        <v>#REF!</v>
      </c>
      <c r="O42" s="7" t="e">
        <f>COUNTIFS(#REF!,"*bình phước",#REF!,"người bệnh mới")</f>
        <v>#REF!</v>
      </c>
      <c r="P42" s="23" t="e">
        <f>O42/O113</f>
        <v>#REF!</v>
      </c>
      <c r="Q42" s="7" t="e">
        <f>COUNTIFS(#REF!,"*bình phước",#REF!,"người bệnh mới")</f>
        <v>#REF!</v>
      </c>
      <c r="R42" s="23" t="e">
        <f>Q42/Q113</f>
        <v>#REF!</v>
      </c>
      <c r="S42" s="7" t="e">
        <f>COUNTIFS(#REF!,"*bình phước",#REF!,"người bệnh mới")</f>
        <v>#REF!</v>
      </c>
      <c r="T42" s="23" t="e">
        <f>S42/S113</f>
        <v>#REF!</v>
      </c>
      <c r="U42" s="8"/>
      <c r="V42" s="8"/>
      <c r="W42" s="8"/>
      <c r="X42" s="8"/>
    </row>
    <row r="43" spans="1:24" ht="24" customHeight="1" x14ac:dyDescent="0.25">
      <c r="A43" s="110" t="s">
        <v>140</v>
      </c>
      <c r="B43" s="76"/>
      <c r="C43" s="76"/>
      <c r="D43" s="76"/>
      <c r="E43" s="7">
        <v>29</v>
      </c>
      <c r="F43" s="23">
        <v>5.9670781893004114E-2</v>
      </c>
      <c r="G43" s="7">
        <v>46</v>
      </c>
      <c r="H43" s="23">
        <v>6.6473988439306353E-2</v>
      </c>
      <c r="I43" s="7">
        <v>61</v>
      </c>
      <c r="J43" s="23">
        <v>6.3475546305931316E-2</v>
      </c>
      <c r="K43" s="7">
        <v>130</v>
      </c>
      <c r="L43" s="23">
        <v>6.34765625E-2</v>
      </c>
      <c r="M43" s="7" t="e">
        <f>COUNTIFS(#REF!,"*đồng nai",#REF!,"người bệnh mới")</f>
        <v>#REF!</v>
      </c>
      <c r="N43" s="23" t="e">
        <f>M43/M113</f>
        <v>#REF!</v>
      </c>
      <c r="O43" s="7" t="e">
        <f>COUNTIFS(#REF!,"*đồng nai",#REF!,"người bệnh mới")</f>
        <v>#REF!</v>
      </c>
      <c r="P43" s="23" t="e">
        <f>O43/O113</f>
        <v>#REF!</v>
      </c>
      <c r="Q43" s="7" t="e">
        <f>COUNTIFS(#REF!,"*đồng nai",#REF!,"người bệnh mới")</f>
        <v>#REF!</v>
      </c>
      <c r="R43" s="23" t="e">
        <f>Q43/Q113</f>
        <v>#REF!</v>
      </c>
      <c r="S43" s="7" t="e">
        <f>COUNTIFS(#REF!,"*đồng nai",#REF!,"người bệnh mới")</f>
        <v>#REF!</v>
      </c>
      <c r="T43" s="23" t="e">
        <f>S43/S113</f>
        <v>#REF!</v>
      </c>
      <c r="U43" s="8"/>
      <c r="V43" s="8"/>
      <c r="W43" s="8"/>
      <c r="X43" s="8"/>
    </row>
    <row r="44" spans="1:24" ht="24" customHeight="1" x14ac:dyDescent="0.25">
      <c r="A44" s="110" t="s">
        <v>141</v>
      </c>
      <c r="B44" s="76"/>
      <c r="C44" s="76"/>
      <c r="D44" s="76"/>
      <c r="E44" s="7">
        <v>9</v>
      </c>
      <c r="F44" s="23">
        <v>1.8518518518518517E-2</v>
      </c>
      <c r="G44" s="7">
        <v>11</v>
      </c>
      <c r="H44" s="23">
        <v>1.5895953757225433E-2</v>
      </c>
      <c r="I44" s="7">
        <v>20</v>
      </c>
      <c r="J44" s="23">
        <v>2.081165452653486E-2</v>
      </c>
      <c r="K44" s="7">
        <v>35</v>
      </c>
      <c r="L44" s="23">
        <v>1.708984375E-2</v>
      </c>
      <c r="M44" s="7" t="e">
        <f>COUNTIFS(#REF!,"*tây ninh",#REF!,"người bệnh mới")</f>
        <v>#REF!</v>
      </c>
      <c r="N44" s="23" t="e">
        <f>M44/M113</f>
        <v>#REF!</v>
      </c>
      <c r="O44" s="7" t="e">
        <f>COUNTIFS(#REF!,"*tây ninh",#REF!,"người bệnh mới")</f>
        <v>#REF!</v>
      </c>
      <c r="P44" s="23" t="e">
        <f>O44/O113</f>
        <v>#REF!</v>
      </c>
      <c r="Q44" s="7" t="e">
        <f>COUNTIFS(#REF!,"*tây ninh",#REF!,"người bệnh mới")</f>
        <v>#REF!</v>
      </c>
      <c r="R44" s="23" t="e">
        <f>Q44/Q113</f>
        <v>#REF!</v>
      </c>
      <c r="S44" s="7" t="e">
        <f>COUNTIFS(#REF!,"*tây ninh",#REF!,"người bệnh mới")</f>
        <v>#REF!</v>
      </c>
      <c r="T44" s="23" t="e">
        <f>S44/S113</f>
        <v>#REF!</v>
      </c>
      <c r="U44" s="8"/>
      <c r="V44" s="8"/>
      <c r="W44" s="8"/>
      <c r="X44" s="8"/>
    </row>
    <row r="45" spans="1:24" ht="24" customHeight="1" x14ac:dyDescent="0.25">
      <c r="A45" s="110" t="s">
        <v>142</v>
      </c>
      <c r="B45" s="76"/>
      <c r="C45" s="76"/>
      <c r="D45" s="76"/>
      <c r="E45" s="7">
        <v>0</v>
      </c>
      <c r="F45" s="23">
        <v>0</v>
      </c>
      <c r="G45" s="7">
        <v>0</v>
      </c>
      <c r="H45" s="23">
        <v>0</v>
      </c>
      <c r="I45" s="7">
        <v>0</v>
      </c>
      <c r="J45" s="23">
        <v>0</v>
      </c>
      <c r="K45" s="7">
        <v>0</v>
      </c>
      <c r="L45" s="23">
        <v>0</v>
      </c>
      <c r="M45" s="7" t="e">
        <f>COUNTIFS(#REF!,"*thủ đức",#REF!,"người bệnh mới")</f>
        <v>#REF!</v>
      </c>
      <c r="N45" s="23" t="e">
        <f>M45/M113</f>
        <v>#REF!</v>
      </c>
      <c r="O45" s="7" t="e">
        <f>COUNTIFS(#REF!,"*thủ đức",#REF!,"người bệnh mới")</f>
        <v>#REF!</v>
      </c>
      <c r="P45" s="23" t="e">
        <f>O45/O113</f>
        <v>#REF!</v>
      </c>
      <c r="Q45" s="7" t="e">
        <f>COUNTIFS(#REF!,"*thủ đức",#REF!,"người bệnh mới")</f>
        <v>#REF!</v>
      </c>
      <c r="R45" s="23" t="e">
        <f>Q45/Q113</f>
        <v>#REF!</v>
      </c>
      <c r="S45" s="7" t="e">
        <f>COUNTIFS(#REF!,"*thủ đức",#REF!,"người bệnh mới")</f>
        <v>#REF!</v>
      </c>
      <c r="T45" s="23" t="e">
        <f>S45/S113</f>
        <v>#REF!</v>
      </c>
      <c r="U45" s="8"/>
      <c r="V45" s="8"/>
      <c r="W45" s="8"/>
      <c r="X45" s="8"/>
    </row>
    <row r="46" spans="1:24" ht="24" customHeight="1" x14ac:dyDescent="0.25">
      <c r="A46" s="111" t="s">
        <v>143</v>
      </c>
      <c r="B46" s="76"/>
      <c r="C46" s="76"/>
      <c r="D46" s="76"/>
      <c r="E46" s="28">
        <v>106</v>
      </c>
      <c r="F46" s="29">
        <v>0.21810699588477367</v>
      </c>
      <c r="G46" s="28">
        <v>136</v>
      </c>
      <c r="H46" s="29">
        <v>0.19653179190751446</v>
      </c>
      <c r="I46" s="28">
        <v>225</v>
      </c>
      <c r="J46" s="29">
        <v>0.23413111342351717</v>
      </c>
      <c r="K46" s="28">
        <v>436</v>
      </c>
      <c r="L46" s="29">
        <v>0.212890625</v>
      </c>
      <c r="M46" s="28" t="e">
        <f>SUM(M47:M59)</f>
        <v>#REF!</v>
      </c>
      <c r="N46" s="29" t="e">
        <f>M46/M113</f>
        <v>#REF!</v>
      </c>
      <c r="O46" s="28" t="e">
        <f>SUM(O47:O59)</f>
        <v>#REF!</v>
      </c>
      <c r="P46" s="29" t="e">
        <f>O46/O113</f>
        <v>#REF!</v>
      </c>
      <c r="Q46" s="28" t="e">
        <f>SUM(Q47:Q59)</f>
        <v>#REF!</v>
      </c>
      <c r="R46" s="29" t="e">
        <f>Q46/Q113</f>
        <v>#REF!</v>
      </c>
      <c r="S46" s="28" t="e">
        <f>SUM(S47:S59)</f>
        <v>#REF!</v>
      </c>
      <c r="T46" s="29" t="e">
        <f>S46/S113</f>
        <v>#REF!</v>
      </c>
      <c r="U46" s="8"/>
      <c r="V46" s="8"/>
      <c r="W46" s="8"/>
      <c r="X46" s="8"/>
    </row>
    <row r="47" spans="1:24" ht="24" customHeight="1" x14ac:dyDescent="0.25">
      <c r="A47" s="110" t="s">
        <v>144</v>
      </c>
      <c r="B47" s="76"/>
      <c r="C47" s="76"/>
      <c r="D47" s="76"/>
      <c r="E47" s="7">
        <v>18</v>
      </c>
      <c r="F47" s="30">
        <v>3.7037037037037035E-2</v>
      </c>
      <c r="G47" s="7">
        <v>34</v>
      </c>
      <c r="H47" s="30">
        <v>4.9132947976878616E-2</v>
      </c>
      <c r="I47" s="7">
        <v>41</v>
      </c>
      <c r="J47" s="30">
        <v>4.2663891779396459E-2</v>
      </c>
      <c r="K47" s="7">
        <v>72</v>
      </c>
      <c r="L47" s="30">
        <v>3.515625E-2</v>
      </c>
      <c r="M47" s="7" t="e">
        <f>COUNTIFS(#REF!,"*long an",#REF!,"người bệnh mới")</f>
        <v>#REF!</v>
      </c>
      <c r="N47" s="30" t="e">
        <f>M47/M113</f>
        <v>#REF!</v>
      </c>
      <c r="O47" s="7" t="e">
        <f>COUNTIFS(#REF!,"*long an",#REF!,"người bệnh mới")</f>
        <v>#REF!</v>
      </c>
      <c r="P47" s="30" t="e">
        <f>O47/O113</f>
        <v>#REF!</v>
      </c>
      <c r="Q47" s="7" t="e">
        <f>COUNTIFS(#REF!,"*long an",#REF!,"người bệnh mới")</f>
        <v>#REF!</v>
      </c>
      <c r="R47" s="30" t="e">
        <f>Q47/Q113</f>
        <v>#REF!</v>
      </c>
      <c r="S47" s="7" t="e">
        <f>COUNTIFS(#REF!,"*long an",#REF!,"người bệnh mới")</f>
        <v>#REF!</v>
      </c>
      <c r="T47" s="30" t="e">
        <f>S47/S113</f>
        <v>#REF!</v>
      </c>
      <c r="U47" s="8"/>
      <c r="V47" s="8"/>
      <c r="W47" s="8"/>
      <c r="X47" s="8"/>
    </row>
    <row r="48" spans="1:24" ht="24" customHeight="1" x14ac:dyDescent="0.25">
      <c r="A48" s="110" t="s">
        <v>145</v>
      </c>
      <c r="B48" s="76"/>
      <c r="C48" s="76"/>
      <c r="D48" s="76"/>
      <c r="E48" s="7">
        <v>18</v>
      </c>
      <c r="F48" s="30">
        <v>3.7037037037037035E-2</v>
      </c>
      <c r="G48" s="7">
        <v>19</v>
      </c>
      <c r="H48" s="30">
        <v>2.7456647398843931E-2</v>
      </c>
      <c r="I48" s="7">
        <v>45</v>
      </c>
      <c r="J48" s="30">
        <v>4.6826222684703434E-2</v>
      </c>
      <c r="K48" s="7">
        <v>67</v>
      </c>
      <c r="L48" s="30">
        <v>3.271484375E-2</v>
      </c>
      <c r="M48" s="7" t="e">
        <f>COUNTIFS(#REF!,"*tiền giang",#REF!,"người bệnh mới")</f>
        <v>#REF!</v>
      </c>
      <c r="N48" s="30" t="e">
        <f>M48/M113</f>
        <v>#REF!</v>
      </c>
      <c r="O48" s="7" t="e">
        <f>COUNTIFS(#REF!,"*tiền giang",#REF!,"người bệnh mới")</f>
        <v>#REF!</v>
      </c>
      <c r="P48" s="30" t="e">
        <f>O48/O113</f>
        <v>#REF!</v>
      </c>
      <c r="Q48" s="7" t="e">
        <f>COUNTIFS(#REF!,"*tiền giang",#REF!,"người bệnh mới")</f>
        <v>#REF!</v>
      </c>
      <c r="R48" s="30" t="e">
        <f>Q48/Q113</f>
        <v>#REF!</v>
      </c>
      <c r="S48" s="7" t="e">
        <f>COUNTIFS(#REF!,"*tiền giang",#REF!,"người bệnh mới")</f>
        <v>#REF!</v>
      </c>
      <c r="T48" s="30" t="e">
        <f>S48/S113</f>
        <v>#REF!</v>
      </c>
      <c r="U48" s="8"/>
      <c r="V48" s="8"/>
      <c r="W48" s="8"/>
      <c r="X48" s="8"/>
    </row>
    <row r="49" spans="1:24" ht="24" customHeight="1" x14ac:dyDescent="0.25">
      <c r="A49" s="110" t="s">
        <v>146</v>
      </c>
      <c r="B49" s="76"/>
      <c r="C49" s="76"/>
      <c r="D49" s="76"/>
      <c r="E49" s="7">
        <v>8</v>
      </c>
      <c r="F49" s="30">
        <v>1.646090534979424E-2</v>
      </c>
      <c r="G49" s="7">
        <v>11</v>
      </c>
      <c r="H49" s="30">
        <v>1.5895953757225433E-2</v>
      </c>
      <c r="I49" s="7">
        <v>19</v>
      </c>
      <c r="J49" s="30">
        <v>1.9771071800208116E-2</v>
      </c>
      <c r="K49" s="7">
        <v>47</v>
      </c>
      <c r="L49" s="30">
        <v>2.294921875E-2</v>
      </c>
      <c r="M49" s="7" t="e">
        <f>COUNTIFS(#REF!,"*kiên giang",#REF!,"người bệnh mới")</f>
        <v>#REF!</v>
      </c>
      <c r="N49" s="30" t="e">
        <f>M49/M113</f>
        <v>#REF!</v>
      </c>
      <c r="O49" s="7" t="e">
        <f>COUNTIFS(#REF!,"*kiên giang",#REF!,"người bệnh mới")</f>
        <v>#REF!</v>
      </c>
      <c r="P49" s="30" t="e">
        <f>O49/O113</f>
        <v>#REF!</v>
      </c>
      <c r="Q49" s="7" t="e">
        <f>COUNTIFS(#REF!,"*kiên giang",#REF!,"người bệnh mới")</f>
        <v>#REF!</v>
      </c>
      <c r="R49" s="30" t="e">
        <f>Q49/Q113</f>
        <v>#REF!</v>
      </c>
      <c r="S49" s="7" t="e">
        <f>COUNTIFS(#REF!,"*kiên giang",#REF!,"người bệnh mới")</f>
        <v>#REF!</v>
      </c>
      <c r="T49" s="30" t="e">
        <f>S49/S113</f>
        <v>#REF!</v>
      </c>
      <c r="U49" s="8"/>
      <c r="V49" s="8"/>
      <c r="W49" s="8"/>
      <c r="X49" s="8"/>
    </row>
    <row r="50" spans="1:24" ht="24" customHeight="1" x14ac:dyDescent="0.25">
      <c r="A50" s="110" t="s">
        <v>147</v>
      </c>
      <c r="B50" s="76"/>
      <c r="C50" s="76"/>
      <c r="D50" s="76"/>
      <c r="E50" s="7">
        <v>2</v>
      </c>
      <c r="F50" s="30">
        <v>4.11522633744856E-3</v>
      </c>
      <c r="G50" s="7">
        <v>16</v>
      </c>
      <c r="H50" s="30">
        <v>2.3121387283236993E-2</v>
      </c>
      <c r="I50" s="7">
        <v>19</v>
      </c>
      <c r="J50" s="30">
        <v>1.9771071800208116E-2</v>
      </c>
      <c r="K50" s="7">
        <v>37</v>
      </c>
      <c r="L50" s="30">
        <v>1.806640625E-2</v>
      </c>
      <c r="M50" s="7" t="e">
        <f>COUNTIFS(#REF!,"*an giang",#REF!,"người bệnh mới")</f>
        <v>#REF!</v>
      </c>
      <c r="N50" s="30" t="e">
        <f>M50/M113</f>
        <v>#REF!</v>
      </c>
      <c r="O50" s="7" t="e">
        <f>COUNTIFS(#REF!,"*an giang",#REF!,"người bệnh mới")</f>
        <v>#REF!</v>
      </c>
      <c r="P50" s="30" t="e">
        <f>O50/O113</f>
        <v>#REF!</v>
      </c>
      <c r="Q50" s="7" t="e">
        <f>COUNTIFS(#REF!,"*an giang",#REF!,"người bệnh mới")</f>
        <v>#REF!</v>
      </c>
      <c r="R50" s="30" t="e">
        <f>Q50/Q113</f>
        <v>#REF!</v>
      </c>
      <c r="S50" s="7" t="e">
        <f>COUNTIFS(#REF!,"*an giang",#REF!,"người bệnh mới")</f>
        <v>#REF!</v>
      </c>
      <c r="T50" s="30" t="e">
        <f>S50/S113</f>
        <v>#REF!</v>
      </c>
      <c r="U50" s="8"/>
      <c r="V50" s="8"/>
      <c r="W50" s="8"/>
      <c r="X50" s="8"/>
    </row>
    <row r="51" spans="1:24" ht="24" customHeight="1" x14ac:dyDescent="0.25">
      <c r="A51" s="110" t="s">
        <v>148</v>
      </c>
      <c r="B51" s="76"/>
      <c r="C51" s="76"/>
      <c r="D51" s="76"/>
      <c r="E51" s="7">
        <v>1</v>
      </c>
      <c r="F51" s="30">
        <v>2.05761316872428E-3</v>
      </c>
      <c r="G51" s="7">
        <v>8</v>
      </c>
      <c r="H51" s="30">
        <v>1.1560693641618497E-2</v>
      </c>
      <c r="I51" s="7">
        <v>7</v>
      </c>
      <c r="J51" s="30">
        <v>7.2840790842872011E-3</v>
      </c>
      <c r="K51" s="7">
        <v>16</v>
      </c>
      <c r="L51" s="30">
        <v>7.8125E-3</v>
      </c>
      <c r="M51" s="7" t="e">
        <f>COUNTIFS(#REF!,"*bạc liêu",#REF!,"người bệnh mới")</f>
        <v>#REF!</v>
      </c>
      <c r="N51" s="30" t="e">
        <f>M51/M113</f>
        <v>#REF!</v>
      </c>
      <c r="O51" s="7" t="e">
        <f>COUNTIFS(#REF!,"*bạc liêu",#REF!,"người bệnh mới")</f>
        <v>#REF!</v>
      </c>
      <c r="P51" s="30" t="e">
        <f>O51/O113</f>
        <v>#REF!</v>
      </c>
      <c r="Q51" s="7" t="e">
        <f>COUNTIFS(#REF!,"*bạc liêu",#REF!,"người bệnh mới")</f>
        <v>#REF!</v>
      </c>
      <c r="R51" s="30" t="e">
        <f>Q51/Q113</f>
        <v>#REF!</v>
      </c>
      <c r="S51" s="7" t="e">
        <f>COUNTIFS(#REF!,"*bạc liêu",#REF!,"người bệnh mới")</f>
        <v>#REF!</v>
      </c>
      <c r="T51" s="30" t="e">
        <f>S51/S113</f>
        <v>#REF!</v>
      </c>
      <c r="U51" s="8"/>
      <c r="V51" s="8"/>
      <c r="W51" s="8"/>
      <c r="X51" s="8"/>
    </row>
    <row r="52" spans="1:24" ht="24" customHeight="1" x14ac:dyDescent="0.25">
      <c r="A52" s="110" t="s">
        <v>149</v>
      </c>
      <c r="B52" s="76"/>
      <c r="C52" s="76"/>
      <c r="D52" s="76"/>
      <c r="E52" s="7">
        <v>5</v>
      </c>
      <c r="F52" s="30">
        <v>1.0288065843621399E-2</v>
      </c>
      <c r="G52" s="7">
        <v>6</v>
      </c>
      <c r="H52" s="30">
        <v>8.670520231213872E-3</v>
      </c>
      <c r="I52" s="7">
        <v>9</v>
      </c>
      <c r="J52" s="30">
        <v>9.3652445369406864E-3</v>
      </c>
      <c r="K52" s="7">
        <v>20</v>
      </c>
      <c r="L52" s="30">
        <v>9.765625E-3</v>
      </c>
      <c r="M52" s="7" t="e">
        <f>COUNTIFS(#REF!,"*sóc trăng",#REF!,"người bệnh mới")</f>
        <v>#REF!</v>
      </c>
      <c r="N52" s="30" t="e">
        <f>M52/M113</f>
        <v>#REF!</v>
      </c>
      <c r="O52" s="7" t="e">
        <f>COUNTIFS(#REF!,"*sóc trăng",#REF!,"người bệnh mới")</f>
        <v>#REF!</v>
      </c>
      <c r="P52" s="30" t="e">
        <f>O52/O113</f>
        <v>#REF!</v>
      </c>
      <c r="Q52" s="7" t="e">
        <f>COUNTIFS(#REF!,"*sóc trăng",#REF!,"người bệnh mới")</f>
        <v>#REF!</v>
      </c>
      <c r="R52" s="30" t="e">
        <f>Q52/Q113</f>
        <v>#REF!</v>
      </c>
      <c r="S52" s="7" t="e">
        <f>COUNTIFS(#REF!,"*sóc trăng",#REF!,"người bệnh mới")</f>
        <v>#REF!</v>
      </c>
      <c r="T52" s="30" t="e">
        <f>S52/S113</f>
        <v>#REF!</v>
      </c>
      <c r="U52" s="8"/>
      <c r="V52" s="8"/>
      <c r="W52" s="8"/>
      <c r="X52" s="8"/>
    </row>
    <row r="53" spans="1:24" ht="24" customHeight="1" x14ac:dyDescent="0.25">
      <c r="A53" s="110" t="s">
        <v>150</v>
      </c>
      <c r="B53" s="76"/>
      <c r="C53" s="76"/>
      <c r="D53" s="76"/>
      <c r="E53" s="7">
        <v>8</v>
      </c>
      <c r="F53" s="30">
        <v>1.646090534979424E-2</v>
      </c>
      <c r="G53" s="7">
        <v>4</v>
      </c>
      <c r="H53" s="30">
        <v>5.7803468208092483E-3</v>
      </c>
      <c r="I53" s="7">
        <v>9</v>
      </c>
      <c r="J53" s="30">
        <v>9.3652445369406864E-3</v>
      </c>
      <c r="K53" s="7">
        <v>15</v>
      </c>
      <c r="L53" s="30">
        <v>7.32421875E-3</v>
      </c>
      <c r="M53" s="7" t="e">
        <f>COUNTIFS(#REF!,"*cần thơ",#REF!,"người bệnh mới")</f>
        <v>#REF!</v>
      </c>
      <c r="N53" s="30" t="e">
        <f>M53/M113</f>
        <v>#REF!</v>
      </c>
      <c r="O53" s="7" t="e">
        <f>COUNTIFS(#REF!,"*cần thơ",#REF!,"người bệnh mới")</f>
        <v>#REF!</v>
      </c>
      <c r="P53" s="30" t="e">
        <f>O53/O113</f>
        <v>#REF!</v>
      </c>
      <c r="Q53" s="7" t="e">
        <f>COUNTIFS(#REF!,"*cần thơ",#REF!,"người bệnh mới")</f>
        <v>#REF!</v>
      </c>
      <c r="R53" s="30" t="e">
        <f>Q53/Q113</f>
        <v>#REF!</v>
      </c>
      <c r="S53" s="7" t="e">
        <f>COUNTIFS(#REF!,"*cần thơ",#REF!,"người bệnh mới")</f>
        <v>#REF!</v>
      </c>
      <c r="T53" s="30" t="e">
        <f>S53/S113</f>
        <v>#REF!</v>
      </c>
      <c r="U53" s="8"/>
      <c r="V53" s="8"/>
      <c r="W53" s="8"/>
      <c r="X53" s="8"/>
    </row>
    <row r="54" spans="1:24" ht="24" customHeight="1" x14ac:dyDescent="0.25">
      <c r="A54" s="110" t="s">
        <v>151</v>
      </c>
      <c r="B54" s="76"/>
      <c r="C54" s="76"/>
      <c r="D54" s="76"/>
      <c r="E54" s="7">
        <v>4</v>
      </c>
      <c r="F54" s="30">
        <v>8.23045267489712E-3</v>
      </c>
      <c r="G54" s="7">
        <v>2</v>
      </c>
      <c r="H54" s="30">
        <v>2.8901734104046241E-3</v>
      </c>
      <c r="I54" s="7">
        <v>8</v>
      </c>
      <c r="J54" s="30">
        <v>8.3246618106139446E-3</v>
      </c>
      <c r="K54" s="7">
        <v>24</v>
      </c>
      <c r="L54" s="30">
        <v>1.171875E-2</v>
      </c>
      <c r="M54" s="7" t="e">
        <f>COUNTIFS(#REF!,"*cà mau",#REF!,"người bệnh mới")</f>
        <v>#REF!</v>
      </c>
      <c r="N54" s="30" t="e">
        <f>M54/M113</f>
        <v>#REF!</v>
      </c>
      <c r="O54" s="7" t="e">
        <f>COUNTIFS(#REF!,"*cà mau",#REF!,"người bệnh mới")</f>
        <v>#REF!</v>
      </c>
      <c r="P54" s="30" t="e">
        <f>O54/O113</f>
        <v>#REF!</v>
      </c>
      <c r="Q54" s="7" t="e">
        <f>COUNTIFS(#REF!,"*cà mau",#REF!,"người bệnh mới")</f>
        <v>#REF!</v>
      </c>
      <c r="R54" s="30" t="e">
        <f>Q54/Q113</f>
        <v>#REF!</v>
      </c>
      <c r="S54" s="7" t="e">
        <f>COUNTIFS(#REF!,"*cà mau",#REF!,"người bệnh mới")</f>
        <v>#REF!</v>
      </c>
      <c r="T54" s="30" t="e">
        <f>S54/S113</f>
        <v>#REF!</v>
      </c>
      <c r="U54" s="8"/>
      <c r="V54" s="8"/>
      <c r="W54" s="8"/>
      <c r="X54" s="8"/>
    </row>
    <row r="55" spans="1:24" ht="24" customHeight="1" x14ac:dyDescent="0.25">
      <c r="A55" s="110" t="s">
        <v>152</v>
      </c>
      <c r="B55" s="76"/>
      <c r="C55" s="76"/>
      <c r="D55" s="76"/>
      <c r="E55" s="7">
        <v>7</v>
      </c>
      <c r="F55" s="30">
        <v>1.4403292181069959E-2</v>
      </c>
      <c r="G55" s="7">
        <v>3</v>
      </c>
      <c r="H55" s="30">
        <v>4.335260115606936E-3</v>
      </c>
      <c r="I55" s="7">
        <v>15</v>
      </c>
      <c r="J55" s="30">
        <v>1.5608740894901144E-2</v>
      </c>
      <c r="K55" s="7">
        <v>27</v>
      </c>
      <c r="L55" s="30">
        <v>1.318359375E-2</v>
      </c>
      <c r="M55" s="7" t="e">
        <f>COUNTIFS(#REF!,"*vĩnh long",#REF!,"người bệnh mới")</f>
        <v>#REF!</v>
      </c>
      <c r="N55" s="30" t="e">
        <f>M55/M113</f>
        <v>#REF!</v>
      </c>
      <c r="O55" s="7" t="e">
        <f>COUNTIFS(#REF!,"*vĩnh long",#REF!,"người bệnh mới")</f>
        <v>#REF!</v>
      </c>
      <c r="P55" s="30" t="e">
        <f>O55/O113</f>
        <v>#REF!</v>
      </c>
      <c r="Q55" s="7" t="e">
        <f>COUNTIFS(#REF!,"*vĩnh long",#REF!,"người bệnh mới")</f>
        <v>#REF!</v>
      </c>
      <c r="R55" s="30" t="e">
        <f>Q55/Q113</f>
        <v>#REF!</v>
      </c>
      <c r="S55" s="7" t="e">
        <f>COUNTIFS(#REF!,"*vĩnh long",#REF!,"người bệnh mới")</f>
        <v>#REF!</v>
      </c>
      <c r="T55" s="30" t="e">
        <f>S55/S113</f>
        <v>#REF!</v>
      </c>
      <c r="U55" s="8"/>
      <c r="V55" s="8"/>
      <c r="W55" s="8"/>
      <c r="X55" s="8"/>
    </row>
    <row r="56" spans="1:24" ht="24" customHeight="1" x14ac:dyDescent="0.25">
      <c r="A56" s="110" t="s">
        <v>153</v>
      </c>
      <c r="B56" s="76"/>
      <c r="C56" s="76"/>
      <c r="D56" s="76"/>
      <c r="E56" s="7">
        <v>10</v>
      </c>
      <c r="F56" s="30">
        <v>2.0576131687242798E-2</v>
      </c>
      <c r="G56" s="7">
        <v>11</v>
      </c>
      <c r="H56" s="30">
        <v>1.5895953757225433E-2</v>
      </c>
      <c r="I56" s="7">
        <v>11</v>
      </c>
      <c r="J56" s="30">
        <v>1.1446409989594173E-2</v>
      </c>
      <c r="K56" s="7">
        <v>25</v>
      </c>
      <c r="L56" s="30">
        <v>1.220703125E-2</v>
      </c>
      <c r="M56" s="7" t="e">
        <f>COUNTIFS(#REF!,"*đồng tháp",#REF!,"người bệnh mới")</f>
        <v>#REF!</v>
      </c>
      <c r="N56" s="30" t="e">
        <f>M56/M113</f>
        <v>#REF!</v>
      </c>
      <c r="O56" s="7" t="e">
        <f>COUNTIFS(#REF!,"*đồng tháp",#REF!,"người bệnh mới")</f>
        <v>#REF!</v>
      </c>
      <c r="P56" s="30" t="e">
        <f>O56/O113</f>
        <v>#REF!</v>
      </c>
      <c r="Q56" s="7" t="e">
        <f>COUNTIFS(#REF!,"*đồng tháp",#REF!,"người bệnh mới")</f>
        <v>#REF!</v>
      </c>
      <c r="R56" s="30" t="e">
        <f>Q56/Q113</f>
        <v>#REF!</v>
      </c>
      <c r="S56" s="7" t="e">
        <f>COUNTIFS(#REF!,"*đồng tháp",#REF!,"người bệnh mới")</f>
        <v>#REF!</v>
      </c>
      <c r="T56" s="30" t="e">
        <f>S56/S113</f>
        <v>#REF!</v>
      </c>
      <c r="U56" s="8"/>
      <c r="V56" s="8"/>
      <c r="W56" s="8"/>
      <c r="X56" s="8"/>
    </row>
    <row r="57" spans="1:24" ht="24" customHeight="1" x14ac:dyDescent="0.25">
      <c r="A57" s="110" t="s">
        <v>154</v>
      </c>
      <c r="B57" s="76"/>
      <c r="C57" s="76"/>
      <c r="D57" s="76"/>
      <c r="E57" s="7">
        <v>14</v>
      </c>
      <c r="F57" s="30">
        <v>2.8806584362139918E-2</v>
      </c>
      <c r="G57" s="7">
        <v>10</v>
      </c>
      <c r="H57" s="30">
        <v>1.4450867052023121E-2</v>
      </c>
      <c r="I57" s="7">
        <v>22</v>
      </c>
      <c r="J57" s="30">
        <v>2.2892819979188347E-2</v>
      </c>
      <c r="K57" s="7">
        <v>44</v>
      </c>
      <c r="L57" s="30">
        <v>2.1484375E-2</v>
      </c>
      <c r="M57" s="7" t="e">
        <f>COUNTIFS(#REF!,"*bến tre",#REF!,"người bệnh mới")</f>
        <v>#REF!</v>
      </c>
      <c r="N57" s="30" t="e">
        <f>M57/M113</f>
        <v>#REF!</v>
      </c>
      <c r="O57" s="7" t="e">
        <f>COUNTIFS(#REF!,"*bến tre",#REF!,"người bệnh mới")</f>
        <v>#REF!</v>
      </c>
      <c r="P57" s="30" t="e">
        <f>O57/O113</f>
        <v>#REF!</v>
      </c>
      <c r="Q57" s="7" t="e">
        <f>COUNTIFS(#REF!,"*bến tre",#REF!,"người bệnh mới")</f>
        <v>#REF!</v>
      </c>
      <c r="R57" s="30" t="e">
        <f>Q57/Q113</f>
        <v>#REF!</v>
      </c>
      <c r="S57" s="7" t="e">
        <f>COUNTIFS(#REF!,"*bến tre",#REF!,"người bệnh mới")</f>
        <v>#REF!</v>
      </c>
      <c r="T57" s="30" t="e">
        <f>S57/S113</f>
        <v>#REF!</v>
      </c>
      <c r="U57" s="8"/>
      <c r="V57" s="8"/>
      <c r="W57" s="8"/>
      <c r="X57" s="8"/>
    </row>
    <row r="58" spans="1:24" ht="24" customHeight="1" x14ac:dyDescent="0.25">
      <c r="A58" s="110" t="s">
        <v>155</v>
      </c>
      <c r="B58" s="76"/>
      <c r="C58" s="76"/>
      <c r="D58" s="76"/>
      <c r="E58" s="7">
        <v>3</v>
      </c>
      <c r="F58" s="30">
        <v>6.1728395061728392E-3</v>
      </c>
      <c r="G58" s="7">
        <v>3</v>
      </c>
      <c r="H58" s="30">
        <v>4.335260115606936E-3</v>
      </c>
      <c r="I58" s="7">
        <v>2</v>
      </c>
      <c r="J58" s="30">
        <v>2.0811654526534861E-3</v>
      </c>
      <c r="K58" s="7">
        <v>8</v>
      </c>
      <c r="L58" s="30">
        <v>3.90625E-3</v>
      </c>
      <c r="M58" s="7" t="e">
        <f>COUNTIFS(#REF!,"*hậu giang",#REF!,"người bệnh mới")</f>
        <v>#REF!</v>
      </c>
      <c r="N58" s="30" t="e">
        <f>M58/M113</f>
        <v>#REF!</v>
      </c>
      <c r="O58" s="7" t="e">
        <f>COUNTIFS(#REF!,"*hậu giang",#REF!,"người bệnh mới")</f>
        <v>#REF!</v>
      </c>
      <c r="P58" s="30" t="e">
        <f>O58/O113</f>
        <v>#REF!</v>
      </c>
      <c r="Q58" s="7" t="e">
        <f>COUNTIFS(#REF!,"*hậu giang",#REF!,"người bệnh mới")</f>
        <v>#REF!</v>
      </c>
      <c r="R58" s="30" t="e">
        <f>Q58/Q113</f>
        <v>#REF!</v>
      </c>
      <c r="S58" s="7" t="e">
        <f>COUNTIFS(#REF!,"*hậu giang",#REF!,"người bệnh mới")</f>
        <v>#REF!</v>
      </c>
      <c r="T58" s="30" t="e">
        <f>S58/S113</f>
        <v>#REF!</v>
      </c>
      <c r="U58" s="8"/>
      <c r="V58" s="8"/>
      <c r="W58" s="8"/>
      <c r="X58" s="8"/>
    </row>
    <row r="59" spans="1:24" ht="24" customHeight="1" x14ac:dyDescent="0.25">
      <c r="A59" s="110" t="s">
        <v>156</v>
      </c>
      <c r="B59" s="76"/>
      <c r="C59" s="76"/>
      <c r="D59" s="76"/>
      <c r="E59" s="7">
        <v>8</v>
      </c>
      <c r="F59" s="30">
        <v>1.646090534979424E-2</v>
      </c>
      <c r="G59" s="7">
        <v>9</v>
      </c>
      <c r="H59" s="30">
        <v>1.300578034682081E-2</v>
      </c>
      <c r="I59" s="7">
        <v>18</v>
      </c>
      <c r="J59" s="30">
        <v>1.8730489073881373E-2</v>
      </c>
      <c r="K59" s="7">
        <v>34</v>
      </c>
      <c r="L59" s="30">
        <v>1.66015625E-2</v>
      </c>
      <c r="M59" s="7" t="e">
        <f>COUNTIFS(#REF!,"*trà vinh",#REF!,"người bệnh mới")</f>
        <v>#REF!</v>
      </c>
      <c r="N59" s="30" t="e">
        <f>M59/M113</f>
        <v>#REF!</v>
      </c>
      <c r="O59" s="7" t="e">
        <f>COUNTIFS(#REF!,"*trà vinh",#REF!,"người bệnh mới")</f>
        <v>#REF!</v>
      </c>
      <c r="P59" s="30" t="e">
        <f>O59/O113</f>
        <v>#REF!</v>
      </c>
      <c r="Q59" s="7" t="e">
        <f>COUNTIFS(#REF!,"*trà vinh",#REF!,"người bệnh mới")</f>
        <v>#REF!</v>
      </c>
      <c r="R59" s="30" t="e">
        <f>Q59/Q113</f>
        <v>#REF!</v>
      </c>
      <c r="S59" s="7" t="e">
        <f>COUNTIFS(#REF!,"*trà vinh",#REF!,"người bệnh mới")</f>
        <v>#REF!</v>
      </c>
      <c r="T59" s="30" t="e">
        <f>S59/S113</f>
        <v>#REF!</v>
      </c>
      <c r="U59" s="8"/>
      <c r="V59" s="8"/>
      <c r="W59" s="8"/>
      <c r="X59" s="8"/>
    </row>
    <row r="60" spans="1:24" ht="24" customHeight="1" x14ac:dyDescent="0.25">
      <c r="A60" s="111" t="s">
        <v>157</v>
      </c>
      <c r="B60" s="76"/>
      <c r="C60" s="76"/>
      <c r="D60" s="76"/>
      <c r="E60" s="28">
        <v>29</v>
      </c>
      <c r="F60" s="29">
        <v>5.9670781893004114E-2</v>
      </c>
      <c r="G60" s="28">
        <v>42</v>
      </c>
      <c r="H60" s="29">
        <v>6.0693641618497107E-2</v>
      </c>
      <c r="I60" s="28">
        <v>63</v>
      </c>
      <c r="J60" s="29">
        <v>6.555671175858481E-2</v>
      </c>
      <c r="K60" s="28">
        <v>125</v>
      </c>
      <c r="L60" s="29">
        <v>6.103515625E-2</v>
      </c>
      <c r="M60" s="28" t="e">
        <f>SUM(M61:M74)</f>
        <v>#REF!</v>
      </c>
      <c r="N60" s="29" t="e">
        <f>M60/M113</f>
        <v>#REF!</v>
      </c>
      <c r="O60" s="28" t="e">
        <f>SUM(O61:O74)</f>
        <v>#REF!</v>
      </c>
      <c r="P60" s="29" t="e">
        <f>O60/O113</f>
        <v>#REF!</v>
      </c>
      <c r="Q60" s="28" t="e">
        <f>SUM(Q61:Q74)</f>
        <v>#REF!</v>
      </c>
      <c r="R60" s="29" t="e">
        <f>Q60/Q113</f>
        <v>#REF!</v>
      </c>
      <c r="S60" s="28" t="e">
        <f>SUM(S61:S74)</f>
        <v>#REF!</v>
      </c>
      <c r="T60" s="29" t="e">
        <f>S60/S113</f>
        <v>#REF!</v>
      </c>
      <c r="U60" s="8"/>
      <c r="V60" s="8"/>
      <c r="W60" s="8"/>
      <c r="X60" s="8"/>
    </row>
    <row r="61" spans="1:24" ht="24" customHeight="1" x14ac:dyDescent="0.25">
      <c r="A61" s="110" t="s">
        <v>158</v>
      </c>
      <c r="B61" s="76"/>
      <c r="C61" s="76"/>
      <c r="D61" s="76"/>
      <c r="E61" s="7">
        <v>4</v>
      </c>
      <c r="F61" s="23">
        <v>8.23045267489712E-3</v>
      </c>
      <c r="G61" s="7">
        <v>8</v>
      </c>
      <c r="H61" s="23">
        <v>1.1560693641618497E-2</v>
      </c>
      <c r="I61" s="7">
        <v>9</v>
      </c>
      <c r="J61" s="23">
        <v>9.3652445369406864E-3</v>
      </c>
      <c r="K61" s="7">
        <v>19</v>
      </c>
      <c r="L61" s="23">
        <v>9.27734375E-3</v>
      </c>
      <c r="M61" s="7" t="e">
        <f>COUNTIFS(#REF!,"*hà nội",#REF!,"người bệnh mới")</f>
        <v>#REF!</v>
      </c>
      <c r="N61" s="23" t="e">
        <f>M61/M113</f>
        <v>#REF!</v>
      </c>
      <c r="O61" s="7" t="e">
        <f>COUNTIFS(#REF!,"*hà nội",#REF!,"người bệnh mới")</f>
        <v>#REF!</v>
      </c>
      <c r="P61" s="23" t="e">
        <f>O61/O113</f>
        <v>#REF!</v>
      </c>
      <c r="Q61" s="7" t="e">
        <f>COUNTIFS(#REF!,"*hà nội",#REF!,"người bệnh mới")</f>
        <v>#REF!</v>
      </c>
      <c r="R61" s="23" t="e">
        <f>Q61/Q113</f>
        <v>#REF!</v>
      </c>
      <c r="S61" s="7" t="e">
        <f>COUNTIFS(#REF!,"*hà nội",#REF!,"người bệnh mới")</f>
        <v>#REF!</v>
      </c>
      <c r="T61" s="23" t="e">
        <f>S61/S113</f>
        <v>#REF!</v>
      </c>
      <c r="U61" s="8"/>
      <c r="V61" s="8"/>
      <c r="W61" s="8"/>
      <c r="X61" s="8"/>
    </row>
    <row r="62" spans="1:24" ht="24" customHeight="1" x14ac:dyDescent="0.25">
      <c r="A62" s="110" t="s">
        <v>159</v>
      </c>
      <c r="B62" s="76"/>
      <c r="C62" s="76"/>
      <c r="D62" s="76"/>
      <c r="E62" s="7">
        <v>3</v>
      </c>
      <c r="F62" s="23">
        <v>6.1728395061728392E-3</v>
      </c>
      <c r="G62" s="7">
        <v>3</v>
      </c>
      <c r="H62" s="23">
        <v>4.335260115606936E-3</v>
      </c>
      <c r="I62" s="7">
        <v>5</v>
      </c>
      <c r="J62" s="23">
        <v>5.2029136316337149E-3</v>
      </c>
      <c r="K62" s="7">
        <v>9</v>
      </c>
      <c r="L62" s="23">
        <v>4.39453125E-3</v>
      </c>
      <c r="M62" s="7" t="e">
        <f>COUNTIFS(#REF!,"*thái bình",#REF!,"người bệnh mới")</f>
        <v>#REF!</v>
      </c>
      <c r="N62" s="23" t="e">
        <f>M62/M113</f>
        <v>#REF!</v>
      </c>
      <c r="O62" s="7" t="e">
        <f>COUNTIFS(#REF!,"*thái bình",#REF!,"người bệnh mới")</f>
        <v>#REF!</v>
      </c>
      <c r="P62" s="23" t="e">
        <f>O62/O113</f>
        <v>#REF!</v>
      </c>
      <c r="Q62" s="7" t="e">
        <f>COUNTIFS(#REF!,"*thái bình",#REF!,"người bệnh mới")</f>
        <v>#REF!</v>
      </c>
      <c r="R62" s="23" t="e">
        <f>Q62/Q113</f>
        <v>#REF!</v>
      </c>
      <c r="S62" s="7" t="e">
        <f>COUNTIFS(#REF!,"*thái bình",#REF!,"người bệnh mới")</f>
        <v>#REF!</v>
      </c>
      <c r="T62" s="23" t="e">
        <f>S62/S113</f>
        <v>#REF!</v>
      </c>
      <c r="U62" s="8"/>
      <c r="V62" s="8"/>
      <c r="W62" s="8"/>
      <c r="X62" s="8"/>
    </row>
    <row r="63" spans="1:24" ht="24" customHeight="1" x14ac:dyDescent="0.25">
      <c r="A63" s="110" t="s">
        <v>160</v>
      </c>
      <c r="B63" s="76"/>
      <c r="C63" s="76"/>
      <c r="D63" s="76"/>
      <c r="E63" s="7">
        <v>3</v>
      </c>
      <c r="F63" s="23">
        <v>6.1728395061728392E-3</v>
      </c>
      <c r="G63" s="7">
        <v>6</v>
      </c>
      <c r="H63" s="23">
        <v>8.670520231213872E-3</v>
      </c>
      <c r="I63" s="7">
        <v>18</v>
      </c>
      <c r="J63" s="23">
        <v>1.8730489073881373E-2</v>
      </c>
      <c r="K63" s="7">
        <v>36</v>
      </c>
      <c r="L63" s="23">
        <v>1.7578125E-2</v>
      </c>
      <c r="M63" s="7" t="e">
        <f>COUNTIFS(#REF!,"*hà tĩnh",#REF!,"người bệnh mới")</f>
        <v>#REF!</v>
      </c>
      <c r="N63" s="23" t="e">
        <f>M63/M113</f>
        <v>#REF!</v>
      </c>
      <c r="O63" s="7" t="e">
        <f>COUNTIFS(#REF!,"*hà tĩnh",#REF!,"người bệnh mới")</f>
        <v>#REF!</v>
      </c>
      <c r="P63" s="23" t="e">
        <f>O63/O113</f>
        <v>#REF!</v>
      </c>
      <c r="Q63" s="7" t="e">
        <f>COUNTIFS(#REF!,"*hà tĩnh",#REF!,"người bệnh mới")</f>
        <v>#REF!</v>
      </c>
      <c r="R63" s="23" t="e">
        <f>Q63/Q113</f>
        <v>#REF!</v>
      </c>
      <c r="S63" s="7" t="e">
        <f>COUNTIFS(#REF!,"*hà tĩnh",#REF!,"người bệnh mới")</f>
        <v>#REF!</v>
      </c>
      <c r="T63" s="23" t="e">
        <f>S63/S113</f>
        <v>#REF!</v>
      </c>
      <c r="U63" s="8"/>
      <c r="V63" s="8"/>
      <c r="W63" s="8"/>
      <c r="X63" s="8"/>
    </row>
    <row r="64" spans="1:24" ht="24" customHeight="1" x14ac:dyDescent="0.25">
      <c r="A64" s="110" t="s">
        <v>161</v>
      </c>
      <c r="B64" s="76"/>
      <c r="C64" s="76"/>
      <c r="D64" s="76"/>
      <c r="E64" s="7">
        <v>3</v>
      </c>
      <c r="F64" s="23">
        <v>6.1728395061728392E-3</v>
      </c>
      <c r="G64" s="7">
        <v>1</v>
      </c>
      <c r="H64" s="23">
        <v>1.4450867052023121E-3</v>
      </c>
      <c r="I64" s="7">
        <v>0</v>
      </c>
      <c r="J64" s="23">
        <v>0</v>
      </c>
      <c r="K64" s="7">
        <v>0</v>
      </c>
      <c r="L64" s="23">
        <v>0</v>
      </c>
      <c r="M64" s="7" t="e">
        <f>COUNTIFS(#REF!,"*yên bái",#REF!,"người bệnh mới")</f>
        <v>#REF!</v>
      </c>
      <c r="N64" s="23" t="e">
        <f>M64/M113</f>
        <v>#REF!</v>
      </c>
      <c r="O64" s="7" t="e">
        <f>COUNTIFS(#REF!,"*yên bái",#REF!,"người bệnh mới")</f>
        <v>#REF!</v>
      </c>
      <c r="P64" s="23" t="e">
        <f>O64/O113</f>
        <v>#REF!</v>
      </c>
      <c r="Q64" s="7" t="e">
        <f>COUNTIFS(#REF!,"*yên bái",#REF!,"người bệnh mới")</f>
        <v>#REF!</v>
      </c>
      <c r="R64" s="23" t="e">
        <f>Q64/Q113</f>
        <v>#REF!</v>
      </c>
      <c r="S64" s="7" t="e">
        <f>COUNTIFS(#REF!,"*yên bái",#REF!,"người bệnh mới")</f>
        <v>#REF!</v>
      </c>
      <c r="T64" s="23" t="e">
        <f>S64/S113</f>
        <v>#REF!</v>
      </c>
      <c r="U64" s="8"/>
      <c r="V64" s="8"/>
      <c r="W64" s="8"/>
      <c r="X64" s="8"/>
    </row>
    <row r="65" spans="1:24" ht="24" customHeight="1" x14ac:dyDescent="0.25">
      <c r="A65" s="110" t="s">
        <v>162</v>
      </c>
      <c r="B65" s="76"/>
      <c r="C65" s="76"/>
      <c r="D65" s="76"/>
      <c r="E65" s="7">
        <v>0</v>
      </c>
      <c r="F65" s="23">
        <v>0</v>
      </c>
      <c r="G65" s="7">
        <v>3</v>
      </c>
      <c r="H65" s="23">
        <v>4.335260115606936E-3</v>
      </c>
      <c r="I65" s="7">
        <v>5</v>
      </c>
      <c r="J65" s="23">
        <v>5.2029136316337149E-3</v>
      </c>
      <c r="K65" s="7">
        <v>6</v>
      </c>
      <c r="L65" s="23">
        <v>2.9296875E-3</v>
      </c>
      <c r="M65" s="7" t="e">
        <f>COUNTIFS(#REF!,"*hà nam",#REF!,"người bệnh mới")</f>
        <v>#REF!</v>
      </c>
      <c r="N65" s="23" t="e">
        <f>M65/M113</f>
        <v>#REF!</v>
      </c>
      <c r="O65" s="7" t="e">
        <f>COUNTIFS(#REF!,"*hà nam",#REF!,"người bệnh mới")</f>
        <v>#REF!</v>
      </c>
      <c r="P65" s="23" t="e">
        <f>O65/O113</f>
        <v>#REF!</v>
      </c>
      <c r="Q65" s="7" t="e">
        <f>COUNTIFS(#REF!,"*hà nam",#REF!,"người bệnh mới")</f>
        <v>#REF!</v>
      </c>
      <c r="R65" s="23" t="e">
        <f>Q65/Q113</f>
        <v>#REF!</v>
      </c>
      <c r="S65" s="7" t="e">
        <f>COUNTIFS(#REF!,"*hà nam",#REF!,"người bệnh mới")</f>
        <v>#REF!</v>
      </c>
      <c r="T65" s="23" t="e">
        <f>S65/S113</f>
        <v>#REF!</v>
      </c>
      <c r="U65" s="8"/>
      <c r="V65" s="8"/>
      <c r="W65" s="8"/>
      <c r="X65" s="8"/>
    </row>
    <row r="66" spans="1:24" ht="24" customHeight="1" x14ac:dyDescent="0.25">
      <c r="A66" s="110" t="s">
        <v>163</v>
      </c>
      <c r="B66" s="76"/>
      <c r="C66" s="76"/>
      <c r="D66" s="76"/>
      <c r="E66" s="7">
        <v>3</v>
      </c>
      <c r="F66" s="23">
        <v>6.1728395061728392E-3</v>
      </c>
      <c r="G66" s="7">
        <v>6</v>
      </c>
      <c r="H66" s="23">
        <v>8.670520231213872E-3</v>
      </c>
      <c r="I66" s="7">
        <v>5</v>
      </c>
      <c r="J66" s="23">
        <v>5.2029136316337149E-3</v>
      </c>
      <c r="K66" s="7">
        <v>11</v>
      </c>
      <c r="L66" s="23">
        <v>5.37109375E-3</v>
      </c>
      <c r="M66" s="7" t="e">
        <f>COUNTIFS(#REF!,"*nam định",#REF!,"người bệnh mới")</f>
        <v>#REF!</v>
      </c>
      <c r="N66" s="23" t="e">
        <f>M66/M113</f>
        <v>#REF!</v>
      </c>
      <c r="O66" s="7" t="e">
        <f>COUNTIFS(#REF!,"*nam định",#REF!,"người bệnh mới")</f>
        <v>#REF!</v>
      </c>
      <c r="P66" s="23" t="e">
        <f>O66/O113</f>
        <v>#REF!</v>
      </c>
      <c r="Q66" s="7" t="e">
        <f>COUNTIFS(#REF!,"*nam định",#REF!,"người bệnh mới")</f>
        <v>#REF!</v>
      </c>
      <c r="R66" s="23" t="e">
        <f>Q66/Q113</f>
        <v>#REF!</v>
      </c>
      <c r="S66" s="7" t="e">
        <f>COUNTIFS(#REF!,"*nam định",#REF!,"người bệnh mới")</f>
        <v>#REF!</v>
      </c>
      <c r="T66" s="23" t="e">
        <f>S66/S113</f>
        <v>#REF!</v>
      </c>
      <c r="U66" s="8"/>
      <c r="V66" s="8"/>
      <c r="W66" s="8"/>
      <c r="X66" s="8"/>
    </row>
    <row r="67" spans="1:24" ht="24" customHeight="1" x14ac:dyDescent="0.25">
      <c r="A67" s="110" t="s">
        <v>164</v>
      </c>
      <c r="B67" s="76"/>
      <c r="C67" s="76"/>
      <c r="D67" s="76"/>
      <c r="E67" s="7">
        <v>8</v>
      </c>
      <c r="F67" s="23">
        <v>1.646090534979424E-2</v>
      </c>
      <c r="G67" s="7">
        <v>6</v>
      </c>
      <c r="H67" s="23">
        <v>8.670520231213872E-3</v>
      </c>
      <c r="I67" s="7">
        <v>11</v>
      </c>
      <c r="J67" s="23">
        <v>1.1446409989594173E-2</v>
      </c>
      <c r="K67" s="7">
        <v>26</v>
      </c>
      <c r="L67" s="23">
        <v>1.26953125E-2</v>
      </c>
      <c r="M67" s="7" t="e">
        <f>COUNTIFS(#REF!,"*thanh hóa",#REF!,"người bệnh mới")</f>
        <v>#REF!</v>
      </c>
      <c r="N67" s="23" t="e">
        <f>M67/M113</f>
        <v>#REF!</v>
      </c>
      <c r="O67" s="7" t="e">
        <f>COUNTIFS(#REF!,"*thanh hóa",#REF!,"người bệnh mới")</f>
        <v>#REF!</v>
      </c>
      <c r="P67" s="23" t="e">
        <f>O67/O113</f>
        <v>#REF!</v>
      </c>
      <c r="Q67" s="7" t="e">
        <f>COUNTIFS(#REF!,"*thanh hóa",#REF!,"người bệnh mới")</f>
        <v>#REF!</v>
      </c>
      <c r="R67" s="23" t="e">
        <f>Q67/Q113</f>
        <v>#REF!</v>
      </c>
      <c r="S67" s="7" t="e">
        <f>COUNTIFS(#REF!,"*thanh hóa",#REF!,"người bệnh mới")</f>
        <v>#REF!</v>
      </c>
      <c r="T67" s="23" t="e">
        <f>S67/S113</f>
        <v>#REF!</v>
      </c>
      <c r="U67" s="8"/>
      <c r="V67" s="8"/>
      <c r="W67" s="8"/>
      <c r="X67" s="8"/>
    </row>
    <row r="68" spans="1:24" ht="24" customHeight="1" x14ac:dyDescent="0.25">
      <c r="A68" s="110" t="s">
        <v>165</v>
      </c>
      <c r="B68" s="76"/>
      <c r="C68" s="76"/>
      <c r="D68" s="76"/>
      <c r="E68" s="7">
        <v>4</v>
      </c>
      <c r="F68" s="23">
        <v>8.23045267489712E-3</v>
      </c>
      <c r="G68" s="7">
        <v>1</v>
      </c>
      <c r="H68" s="23">
        <v>1.4450867052023121E-3</v>
      </c>
      <c r="I68" s="7">
        <v>1</v>
      </c>
      <c r="J68" s="23">
        <v>1.0405827263267431E-3</v>
      </c>
      <c r="K68" s="7">
        <v>3</v>
      </c>
      <c r="L68" s="23">
        <v>1.46484375E-3</v>
      </c>
      <c r="M68" s="7" t="e">
        <f>COUNTIFS(#REF!,"*bắc giang",#REF!,"người bệnh mới")</f>
        <v>#REF!</v>
      </c>
      <c r="N68" s="23" t="e">
        <f>M68/M113</f>
        <v>#REF!</v>
      </c>
      <c r="O68" s="7" t="e">
        <f>COUNTIFS(#REF!,"*bắc giang",#REF!,"người bệnh mới")</f>
        <v>#REF!</v>
      </c>
      <c r="P68" s="23" t="e">
        <f>O68/O113</f>
        <v>#REF!</v>
      </c>
      <c r="Q68" s="7" t="e">
        <f>COUNTIFS(#REF!,"*bắc giang",#REF!,"người bệnh mới")</f>
        <v>#REF!</v>
      </c>
      <c r="R68" s="23" t="e">
        <f>Q68/Q113</f>
        <v>#REF!</v>
      </c>
      <c r="S68" s="7" t="e">
        <f>COUNTIFS(#REF!,"*bắc giang",#REF!,"người bệnh mới")</f>
        <v>#REF!</v>
      </c>
      <c r="T68" s="23" t="e">
        <f>S68/S113</f>
        <v>#REF!</v>
      </c>
      <c r="U68" s="8"/>
      <c r="V68" s="8"/>
      <c r="W68" s="8"/>
      <c r="X68" s="8"/>
    </row>
    <row r="69" spans="1:24" ht="24" customHeight="1" x14ac:dyDescent="0.25">
      <c r="A69" s="110" t="s">
        <v>166</v>
      </c>
      <c r="B69" s="76"/>
      <c r="C69" s="76"/>
      <c r="D69" s="76"/>
      <c r="E69" s="7">
        <v>0</v>
      </c>
      <c r="F69" s="23">
        <v>0</v>
      </c>
      <c r="G69" s="7">
        <v>0</v>
      </c>
      <c r="H69" s="23">
        <v>0</v>
      </c>
      <c r="I69" s="7">
        <v>0</v>
      </c>
      <c r="J69" s="23">
        <v>0</v>
      </c>
      <c r="K69" s="7">
        <v>0</v>
      </c>
      <c r="L69" s="23">
        <v>0</v>
      </c>
      <c r="M69" s="7" t="e">
        <f>COUNTIFS(#REF!,"*bắc ninh",#REF!,"người bệnh mới")</f>
        <v>#REF!</v>
      </c>
      <c r="N69" s="23" t="e">
        <f>M69/M113</f>
        <v>#REF!</v>
      </c>
      <c r="O69" s="7" t="e">
        <f>COUNTIFS(#REF!,"*bắc ninh",#REF!,"người bệnh mới")</f>
        <v>#REF!</v>
      </c>
      <c r="P69" s="23" t="e">
        <f>O69/O113</f>
        <v>#REF!</v>
      </c>
      <c r="Q69" s="7" t="e">
        <f>COUNTIFS(#REF!,"*bắc ninh",#REF!,"người bệnh mới")</f>
        <v>#REF!</v>
      </c>
      <c r="R69" s="23" t="e">
        <f>Q69/Q113</f>
        <v>#REF!</v>
      </c>
      <c r="S69" s="7" t="e">
        <f>COUNTIFS(#REF!,"*bắc ninh",#REF!,"người bệnh mới")</f>
        <v>#REF!</v>
      </c>
      <c r="T69" s="23" t="e">
        <f>S69/S113</f>
        <v>#REF!</v>
      </c>
      <c r="U69" s="8"/>
      <c r="V69" s="8"/>
      <c r="W69" s="8"/>
      <c r="X69" s="8"/>
    </row>
    <row r="70" spans="1:24" ht="24" customHeight="1" x14ac:dyDescent="0.25">
      <c r="A70" s="110" t="s">
        <v>167</v>
      </c>
      <c r="B70" s="76"/>
      <c r="C70" s="76"/>
      <c r="D70" s="76"/>
      <c r="E70" s="7">
        <v>0</v>
      </c>
      <c r="F70" s="23">
        <v>0</v>
      </c>
      <c r="G70" s="7">
        <v>3</v>
      </c>
      <c r="H70" s="23">
        <v>4.335260115606936E-3</v>
      </c>
      <c r="I70" s="7">
        <v>4</v>
      </c>
      <c r="J70" s="23">
        <v>4.1623309053069723E-3</v>
      </c>
      <c r="K70" s="7">
        <v>5</v>
      </c>
      <c r="L70" s="23">
        <v>2.44140625E-3</v>
      </c>
      <c r="M70" s="7" t="e">
        <f>COUNTIFS(#REF!,"*HẢI DƯƠNG",#REF!,"người bệnh mới")</f>
        <v>#REF!</v>
      </c>
      <c r="N70" s="23" t="e">
        <f>M70/M113</f>
        <v>#REF!</v>
      </c>
      <c r="O70" s="7" t="e">
        <f>COUNTIFS(#REF!,"*HẢI DƯƠNG",#REF!,"người bệnh mới")</f>
        <v>#REF!</v>
      </c>
      <c r="P70" s="23" t="e">
        <f>O70/O113</f>
        <v>#REF!</v>
      </c>
      <c r="Q70" s="7" t="e">
        <f>COUNTIFS(#REF!,"*HẢI DƯƠNG",#REF!,"người bệnh mới")</f>
        <v>#REF!</v>
      </c>
      <c r="R70" s="23" t="e">
        <f>Q70/Q113</f>
        <v>#REF!</v>
      </c>
      <c r="S70" s="7" t="e">
        <f>COUNTIFS(#REF!,"*HẢI DƯƠNG",#REF!,"người bệnh mới")</f>
        <v>#REF!</v>
      </c>
      <c r="T70" s="23" t="e">
        <f>S70/S113</f>
        <v>#REF!</v>
      </c>
      <c r="U70" s="8"/>
      <c r="V70" s="8"/>
      <c r="W70" s="8"/>
      <c r="X70" s="8"/>
    </row>
    <row r="71" spans="1:24" ht="24" customHeight="1" x14ac:dyDescent="0.25">
      <c r="A71" s="110" t="s">
        <v>168</v>
      </c>
      <c r="B71" s="76"/>
      <c r="C71" s="76"/>
      <c r="D71" s="76"/>
      <c r="E71" s="7">
        <v>0</v>
      </c>
      <c r="F71" s="23">
        <v>0</v>
      </c>
      <c r="G71" s="7">
        <v>1</v>
      </c>
      <c r="H71" s="23">
        <v>1.4450867052023121E-3</v>
      </c>
      <c r="I71" s="7">
        <v>0</v>
      </c>
      <c r="J71" s="23">
        <v>0</v>
      </c>
      <c r="K71" s="7">
        <v>0</v>
      </c>
      <c r="L71" s="23">
        <v>0</v>
      </c>
      <c r="M71" s="7" t="e">
        <f>COUNTIFS(#REF!,"*vĩnh phúc",#REF!,"người bệnh mới")</f>
        <v>#REF!</v>
      </c>
      <c r="N71" s="23" t="e">
        <f>M71/M113</f>
        <v>#REF!</v>
      </c>
      <c r="O71" s="7" t="e">
        <f>COUNTIFS(#REF!,"*vĩnh phúc",#REF!,"người bệnh mới")</f>
        <v>#REF!</v>
      </c>
      <c r="P71" s="23" t="e">
        <f>O71/O113</f>
        <v>#REF!</v>
      </c>
      <c r="Q71" s="7" t="e">
        <f>COUNTIFS(#REF!,"*vĩnh phúc",#REF!,"người bệnh mới")</f>
        <v>#REF!</v>
      </c>
      <c r="R71" s="23" t="e">
        <f>Q71/Q113</f>
        <v>#REF!</v>
      </c>
      <c r="S71" s="7" t="e">
        <f>COUNTIFS(#REF!,"*vĩnh phúc",#REF!,"người bệnh mới")</f>
        <v>#REF!</v>
      </c>
      <c r="T71" s="23" t="e">
        <f>S71/S113</f>
        <v>#REF!</v>
      </c>
      <c r="U71" s="8"/>
      <c r="V71" s="8"/>
      <c r="W71" s="8"/>
      <c r="X71" s="8"/>
    </row>
    <row r="72" spans="1:24" ht="24" customHeight="1" x14ac:dyDescent="0.25">
      <c r="A72" s="110" t="s">
        <v>169</v>
      </c>
      <c r="B72" s="76"/>
      <c r="C72" s="76"/>
      <c r="D72" s="76"/>
      <c r="E72" s="7">
        <v>0</v>
      </c>
      <c r="F72" s="23">
        <v>0</v>
      </c>
      <c r="G72" s="7">
        <v>0</v>
      </c>
      <c r="H72" s="23">
        <v>0</v>
      </c>
      <c r="I72" s="7">
        <v>2</v>
      </c>
      <c r="J72" s="23">
        <v>2.0811654526534861E-3</v>
      </c>
      <c r="K72" s="7">
        <v>2</v>
      </c>
      <c r="L72" s="23">
        <v>9.765625E-4</v>
      </c>
      <c r="M72" s="7" t="e">
        <f>COUNTIFS(#REF!,"*phú thọ",#REF!,"người bệnh mới")</f>
        <v>#REF!</v>
      </c>
      <c r="N72" s="23" t="e">
        <f>M72/M113</f>
        <v>#REF!</v>
      </c>
      <c r="O72" s="7" t="e">
        <f>COUNTIFS(#REF!,"*phú thọ",#REF!,"người bệnh mới")</f>
        <v>#REF!</v>
      </c>
      <c r="P72" s="23" t="e">
        <f>O72/O113</f>
        <v>#REF!</v>
      </c>
      <c r="Q72" s="7" t="e">
        <f>COUNTIFS(#REF!,"*phú thọ",#REF!,"người bệnh mới")</f>
        <v>#REF!</v>
      </c>
      <c r="R72" s="23" t="e">
        <f>Q72/Q113</f>
        <v>#REF!</v>
      </c>
      <c r="S72" s="7" t="e">
        <f>COUNTIFS(#REF!,"*phú thọ",#REF!,"người bệnh mới")</f>
        <v>#REF!</v>
      </c>
      <c r="T72" s="23" t="e">
        <f>S72/S113</f>
        <v>#REF!</v>
      </c>
      <c r="U72" s="8"/>
      <c r="V72" s="8"/>
      <c r="W72" s="8"/>
      <c r="X72" s="8"/>
    </row>
    <row r="73" spans="1:24" ht="24" customHeight="1" x14ac:dyDescent="0.25">
      <c r="A73" s="110" t="s">
        <v>170</v>
      </c>
      <c r="B73" s="76"/>
      <c r="C73" s="76"/>
      <c r="D73" s="76"/>
      <c r="E73" s="7">
        <v>0</v>
      </c>
      <c r="F73" s="23">
        <v>0</v>
      </c>
      <c r="G73" s="7">
        <v>2</v>
      </c>
      <c r="H73" s="23">
        <v>2.8901734104046241E-3</v>
      </c>
      <c r="I73" s="7">
        <v>0</v>
      </c>
      <c r="J73" s="23">
        <v>0</v>
      </c>
      <c r="K73" s="7">
        <v>2</v>
      </c>
      <c r="L73" s="23">
        <v>9.765625E-4</v>
      </c>
      <c r="M73" s="7" t="e">
        <f>COUNTIFS(#REF!,"*tuyên quang",#REF!,"người bệnh mới")</f>
        <v>#REF!</v>
      </c>
      <c r="N73" s="23" t="e">
        <f>M73/M113</f>
        <v>#REF!</v>
      </c>
      <c r="O73" s="7" t="e">
        <f>COUNTIFS(#REF!,"*tuyên quang",#REF!,"người bệnh mới")</f>
        <v>#REF!</v>
      </c>
      <c r="P73" s="23" t="e">
        <f>O73/O113</f>
        <v>#REF!</v>
      </c>
      <c r="Q73" s="7" t="e">
        <f>COUNTIFS(#REF!,"*tuyên quang",#REF!,"người bệnh mới")</f>
        <v>#REF!</v>
      </c>
      <c r="R73" s="23" t="e">
        <f>Q73/Q113</f>
        <v>#REF!</v>
      </c>
      <c r="S73" s="7" t="e">
        <f>COUNTIFS(#REF!,"*tuyên quang",#REF!,"người bệnh mới")</f>
        <v>#REF!</v>
      </c>
      <c r="T73" s="23" t="e">
        <f>S73/S113</f>
        <v>#REF!</v>
      </c>
      <c r="U73" s="8"/>
      <c r="V73" s="8"/>
      <c r="W73" s="8"/>
      <c r="X73" s="8"/>
    </row>
    <row r="74" spans="1:24" ht="24" customHeight="1" x14ac:dyDescent="0.25">
      <c r="A74" s="110" t="s">
        <v>171</v>
      </c>
      <c r="B74" s="76"/>
      <c r="C74" s="76"/>
      <c r="D74" s="76"/>
      <c r="E74" s="7">
        <v>1</v>
      </c>
      <c r="F74" s="23">
        <v>2.05761316872428E-3</v>
      </c>
      <c r="G74" s="7">
        <v>2</v>
      </c>
      <c r="H74" s="23">
        <v>2.8901734104046241E-3</v>
      </c>
      <c r="I74" s="7">
        <v>3</v>
      </c>
      <c r="J74" s="23">
        <v>3.1217481789802288E-3</v>
      </c>
      <c r="K74" s="7">
        <v>6</v>
      </c>
      <c r="L74" s="23">
        <v>2.9296875E-3</v>
      </c>
      <c r="M74" s="7" t="e">
        <f>COUNTIFS(#REF!,"*ninh bình",#REF!,"người bệnh mới")</f>
        <v>#REF!</v>
      </c>
      <c r="N74" s="23" t="e">
        <f>M74/M113</f>
        <v>#REF!</v>
      </c>
      <c r="O74" s="7" t="e">
        <f>COUNTIFS(#REF!,"*ninh bình",#REF!,"người bệnh mới")</f>
        <v>#REF!</v>
      </c>
      <c r="P74" s="23" t="e">
        <f>O74/O113</f>
        <v>#REF!</v>
      </c>
      <c r="Q74" s="7" t="e">
        <f>COUNTIFS(#REF!,"*ninh bình",#REF!,"người bệnh mới")</f>
        <v>#REF!</v>
      </c>
      <c r="R74" s="23" t="e">
        <f>Q74/Q113</f>
        <v>#REF!</v>
      </c>
      <c r="S74" s="7" t="e">
        <f>COUNTIFS(#REF!,"*ninh bình",#REF!,"người bệnh mới")</f>
        <v>#REF!</v>
      </c>
      <c r="T74" s="23" t="e">
        <f>S74/S113</f>
        <v>#REF!</v>
      </c>
      <c r="U74" s="8"/>
      <c r="V74" s="8"/>
      <c r="W74" s="8"/>
      <c r="X74" s="8"/>
    </row>
    <row r="75" spans="1:24" ht="24" customHeight="1" x14ac:dyDescent="0.25">
      <c r="A75" s="111" t="s">
        <v>172</v>
      </c>
      <c r="B75" s="76"/>
      <c r="C75" s="76"/>
      <c r="D75" s="76"/>
      <c r="E75" s="28">
        <v>66</v>
      </c>
      <c r="F75" s="29">
        <v>0.13580246913580246</v>
      </c>
      <c r="G75" s="28">
        <v>98</v>
      </c>
      <c r="H75" s="29">
        <v>0.1416184971098266</v>
      </c>
      <c r="I75" s="28">
        <v>188</v>
      </c>
      <c r="J75" s="29">
        <v>0.19562955254942768</v>
      </c>
      <c r="K75" s="28">
        <v>366</v>
      </c>
      <c r="L75" s="29">
        <v>0.1787109375</v>
      </c>
      <c r="M75" s="28" t="e">
        <f>SUM(M76:M88)</f>
        <v>#REF!</v>
      </c>
      <c r="N75" s="29" t="e">
        <f>M75/M113</f>
        <v>#REF!</v>
      </c>
      <c r="O75" s="28" t="e">
        <f>SUM(O76:O88)</f>
        <v>#REF!</v>
      </c>
      <c r="P75" s="29" t="e">
        <f>O75/O113</f>
        <v>#REF!</v>
      </c>
      <c r="Q75" s="28" t="e">
        <f>SUM(Q76:Q88)</f>
        <v>#REF!</v>
      </c>
      <c r="R75" s="29" t="e">
        <f>Q75/Q113</f>
        <v>#REF!</v>
      </c>
      <c r="S75" s="28" t="e">
        <f>SUM(S76:S88)</f>
        <v>#REF!</v>
      </c>
      <c r="T75" s="29" t="e">
        <f>S75/S113</f>
        <v>#REF!</v>
      </c>
      <c r="U75" s="8"/>
      <c r="V75" s="8"/>
      <c r="W75" s="8"/>
      <c r="X75" s="8"/>
    </row>
    <row r="76" spans="1:24" ht="24" customHeight="1" x14ac:dyDescent="0.25">
      <c r="A76" s="110" t="s">
        <v>173</v>
      </c>
      <c r="B76" s="76"/>
      <c r="C76" s="76"/>
      <c r="D76" s="76"/>
      <c r="E76" s="7">
        <v>13</v>
      </c>
      <c r="F76" s="23">
        <v>2.6748971193415638E-2</v>
      </c>
      <c r="G76" s="7">
        <v>13</v>
      </c>
      <c r="H76" s="23">
        <v>1.8786127167630059E-2</v>
      </c>
      <c r="I76" s="7">
        <v>30</v>
      </c>
      <c r="J76" s="23">
        <v>3.1217481789802288E-2</v>
      </c>
      <c r="K76" s="7">
        <v>61</v>
      </c>
      <c r="L76" s="23">
        <v>2.978515625E-2</v>
      </c>
      <c r="M76" s="7" t="e">
        <f>COUNTIFS(#REF!,"*vũng tàu*",#REF!,"người bệnh mới")+COUNTIFS(#REF!,"*vt",#REF!,"người bệnh mới")+COUNTIFS(#REF!,"*brvt",#REF!,"người bệnh mới")+COUNTIFS(#REF!,"*br - vt",#REF!,"người bệnh mới")+COUNTIFS(#REF!,"*THÀNH PHỐ VŨNG TÀU",#REF!,"người bệnh mới")</f>
        <v>#REF!</v>
      </c>
      <c r="N76" s="23" t="e">
        <f>M76/M113</f>
        <v>#REF!</v>
      </c>
      <c r="O76" s="7" t="e">
        <f>COUNTIFS(#REF!,"*vũng tàu*",#REF!,"người bệnh mới")+COUNTIFS(#REF!,"*vt",#REF!,"người bệnh mới")+COUNTIFS(#REF!,"*brvt",#REF!,"người bệnh mới")+COUNTIFS(#REF!,"*br - vt",#REF!,"người bệnh mới")+COUNTIFS(#REF!,"*THÀNH PHỐ VŨNG TÀU",#REF!,"người bệnh mới")</f>
        <v>#REF!</v>
      </c>
      <c r="P76" s="23" t="e">
        <f>O76/O113</f>
        <v>#REF!</v>
      </c>
      <c r="Q76" s="7" t="e">
        <f>COUNTIFS(#REF!,"*vũng tàu*",#REF!,"người bệnh mới")+COUNTIFS(#REF!,"*vt",#REF!,"người bệnh mới")+COUNTIFS(#REF!,"*brvt",#REF!,"người bệnh mới")+COUNTIFS(#REF!,"*br - vt",#REF!,"người bệnh mới")+COUNTIFS(#REF!,"*THÀNH PHỐ VŨNG TÀU",#REF!,"người bệnh mới")</f>
        <v>#REF!</v>
      </c>
      <c r="R76" s="23" t="e">
        <f>Q76/Q113</f>
        <v>#REF!</v>
      </c>
      <c r="S76" s="7" t="e">
        <f>COUNTIFS(#REF!,"*vũng tàu*",#REF!,"người bệnh mới")+COUNTIFS(#REF!,"*vt",#REF!,"người bệnh mới")+COUNTIFS(#REF!,"*brvt",#REF!,"người bệnh mới")+COUNTIFS(#REF!,"*br - vt",#REF!,"người bệnh mới")+COUNTIFS(#REF!,"*THÀNH PHỐ VŨNG TÀU",#REF!,"người bệnh mới")</f>
        <v>#REF!</v>
      </c>
      <c r="T76" s="23" t="e">
        <f>S76/S113</f>
        <v>#REF!</v>
      </c>
      <c r="U76" s="8"/>
      <c r="V76" s="8"/>
      <c r="W76" s="8"/>
      <c r="X76" s="8"/>
    </row>
    <row r="77" spans="1:24" ht="24" customHeight="1" x14ac:dyDescent="0.25">
      <c r="A77" s="110" t="s">
        <v>174</v>
      </c>
      <c r="B77" s="76"/>
      <c r="C77" s="76"/>
      <c r="D77" s="76"/>
      <c r="E77" s="7">
        <v>8</v>
      </c>
      <c r="F77" s="23">
        <v>1.646090534979424E-2</v>
      </c>
      <c r="G77" s="7">
        <v>10</v>
      </c>
      <c r="H77" s="23">
        <v>1.4450867052023121E-2</v>
      </c>
      <c r="I77" s="7">
        <v>9</v>
      </c>
      <c r="J77" s="23">
        <v>9.3652445369406864E-3</v>
      </c>
      <c r="K77" s="7">
        <v>21</v>
      </c>
      <c r="L77" s="23">
        <v>1.025390625E-2</v>
      </c>
      <c r="M77" s="7" t="e">
        <f>COUNTIFS(#REF!,"*khánh hòa",#REF!,"người bệnh mới")</f>
        <v>#REF!</v>
      </c>
      <c r="N77" s="23" t="e">
        <f>M77/M113</f>
        <v>#REF!</v>
      </c>
      <c r="O77" s="7" t="e">
        <f>COUNTIFS(#REF!,"*khánh hòa",#REF!,"người bệnh mới")</f>
        <v>#REF!</v>
      </c>
      <c r="P77" s="23" t="e">
        <f>O77/O113</f>
        <v>#REF!</v>
      </c>
      <c r="Q77" s="7" t="e">
        <f>COUNTIFS(#REF!,"*khánh hòa",#REF!,"người bệnh mới")</f>
        <v>#REF!</v>
      </c>
      <c r="R77" s="23" t="e">
        <f>Q77/Q113</f>
        <v>#REF!</v>
      </c>
      <c r="S77" s="7" t="e">
        <f>COUNTIFS(#REF!,"*khánh hòa",#REF!,"người bệnh mới")</f>
        <v>#REF!</v>
      </c>
      <c r="T77" s="23" t="e">
        <f>S77/S113</f>
        <v>#REF!</v>
      </c>
      <c r="U77" s="8"/>
      <c r="V77" s="8"/>
      <c r="W77" s="8"/>
      <c r="X77" s="8"/>
    </row>
    <row r="78" spans="1:24" ht="24" customHeight="1" x14ac:dyDescent="0.25">
      <c r="A78" s="110" t="s">
        <v>175</v>
      </c>
      <c r="B78" s="76"/>
      <c r="C78" s="76"/>
      <c r="D78" s="76"/>
      <c r="E78" s="7">
        <v>8</v>
      </c>
      <c r="F78" s="23">
        <v>1.646090534979424E-2</v>
      </c>
      <c r="G78" s="7">
        <v>17</v>
      </c>
      <c r="H78" s="23">
        <v>2.4566473988439308E-2</v>
      </c>
      <c r="I78" s="7">
        <v>37</v>
      </c>
      <c r="J78" s="23">
        <v>3.8501560874089492E-2</v>
      </c>
      <c r="K78" s="7">
        <v>65</v>
      </c>
      <c r="L78" s="23">
        <v>3.173828125E-2</v>
      </c>
      <c r="M78" s="7" t="e">
        <f>COUNTIFS(#REF!,"*bình thuận",#REF!,"người bệnh mới")</f>
        <v>#REF!</v>
      </c>
      <c r="N78" s="23" t="e">
        <f>M78/M113</f>
        <v>#REF!</v>
      </c>
      <c r="O78" s="7" t="e">
        <f>COUNTIFS(#REF!,"*bình thuận",#REF!,"người bệnh mới")</f>
        <v>#REF!</v>
      </c>
      <c r="P78" s="23" t="e">
        <f>O78/O113</f>
        <v>#REF!</v>
      </c>
      <c r="Q78" s="7" t="e">
        <f>COUNTIFS(#REF!,"*bình thuận",#REF!,"người bệnh mới")</f>
        <v>#REF!</v>
      </c>
      <c r="R78" s="23" t="e">
        <f>Q78/Q113</f>
        <v>#REF!</v>
      </c>
      <c r="S78" s="7" t="e">
        <f>COUNTIFS(#REF!,"*bình thuận",#REF!,"người bệnh mới")</f>
        <v>#REF!</v>
      </c>
      <c r="T78" s="23" t="e">
        <f>S78/S113</f>
        <v>#REF!</v>
      </c>
      <c r="U78" s="8"/>
      <c r="V78" s="8"/>
      <c r="W78" s="8"/>
      <c r="X78" s="8"/>
    </row>
    <row r="79" spans="1:24" ht="24" customHeight="1" x14ac:dyDescent="0.25">
      <c r="A79" s="110" t="s">
        <v>176</v>
      </c>
      <c r="B79" s="76"/>
      <c r="C79" s="76"/>
      <c r="D79" s="76"/>
      <c r="E79" s="7">
        <v>7</v>
      </c>
      <c r="F79" s="23">
        <v>1.4403292181069959E-2</v>
      </c>
      <c r="G79" s="7">
        <v>9</v>
      </c>
      <c r="H79" s="23">
        <v>1.300578034682081E-2</v>
      </c>
      <c r="I79" s="7">
        <v>20</v>
      </c>
      <c r="J79" s="23">
        <v>2.081165452653486E-2</v>
      </c>
      <c r="K79" s="7">
        <v>27</v>
      </c>
      <c r="L79" s="23">
        <v>1.318359375E-2</v>
      </c>
      <c r="M79" s="7" t="e">
        <f>COUNTIFS(#REF!,"*ninh thuận",#REF!,"người bệnh mới")</f>
        <v>#REF!</v>
      </c>
      <c r="N79" s="23" t="e">
        <f>M79/M113</f>
        <v>#REF!</v>
      </c>
      <c r="O79" s="7" t="e">
        <f>COUNTIFS(#REF!,"*ninh thuận",#REF!,"người bệnh mới")</f>
        <v>#REF!</v>
      </c>
      <c r="P79" s="23" t="e">
        <f>O79/O113</f>
        <v>#REF!</v>
      </c>
      <c r="Q79" s="7" t="e">
        <f>COUNTIFS(#REF!,"*ninh thuận",#REF!,"người bệnh mới")</f>
        <v>#REF!</v>
      </c>
      <c r="R79" s="23" t="e">
        <f>Q79/Q113</f>
        <v>#REF!</v>
      </c>
      <c r="S79" s="7" t="e">
        <f>COUNTIFS(#REF!,"*ninh thuận",#REF!,"người bệnh mới")</f>
        <v>#REF!</v>
      </c>
      <c r="T79" s="23" t="e">
        <f>S79/S113</f>
        <v>#REF!</v>
      </c>
      <c r="U79" s="8"/>
      <c r="V79" s="8"/>
      <c r="W79" s="8"/>
      <c r="X79" s="8"/>
    </row>
    <row r="80" spans="1:24" ht="24" customHeight="1" x14ac:dyDescent="0.25">
      <c r="A80" s="110" t="s">
        <v>177</v>
      </c>
      <c r="B80" s="76"/>
      <c r="C80" s="76"/>
      <c r="D80" s="76"/>
      <c r="E80" s="7">
        <v>1</v>
      </c>
      <c r="F80" s="23">
        <v>2.05761316872428E-3</v>
      </c>
      <c r="G80" s="7">
        <v>2</v>
      </c>
      <c r="H80" s="23">
        <v>2.8901734104046241E-3</v>
      </c>
      <c r="I80" s="7">
        <v>5</v>
      </c>
      <c r="J80" s="23">
        <v>5.2029136316337149E-3</v>
      </c>
      <c r="K80" s="7">
        <v>10</v>
      </c>
      <c r="L80" s="23">
        <v>4.8828125E-3</v>
      </c>
      <c r="M80" s="7" t="e">
        <f>COUNTIFS(#REF!,"*thừa thiên huế",#REF!,"người bệnh mới")</f>
        <v>#REF!</v>
      </c>
      <c r="N80" s="23" t="e">
        <f>M80/M113</f>
        <v>#REF!</v>
      </c>
      <c r="O80" s="7" t="e">
        <f>COUNTIFS(#REF!,"*thừa thiên huế",#REF!,"người bệnh mới")</f>
        <v>#REF!</v>
      </c>
      <c r="P80" s="23" t="e">
        <f>O80/O113</f>
        <v>#REF!</v>
      </c>
      <c r="Q80" s="7" t="e">
        <f>COUNTIFS(#REF!,"*thừa thiên huế",#REF!,"người bệnh mới")</f>
        <v>#REF!</v>
      </c>
      <c r="R80" s="23" t="e">
        <f>Q80/Q113</f>
        <v>#REF!</v>
      </c>
      <c r="S80" s="7" t="e">
        <f>COUNTIFS(#REF!,"*thừa thiên huế",#REF!,"người bệnh mới")</f>
        <v>#REF!</v>
      </c>
      <c r="T80" s="23" t="e">
        <f>S80/S113</f>
        <v>#REF!</v>
      </c>
      <c r="U80" s="8"/>
      <c r="V80" s="8"/>
      <c r="W80" s="8"/>
      <c r="X80" s="8"/>
    </row>
    <row r="81" spans="1:24" ht="24" customHeight="1" x14ac:dyDescent="0.25">
      <c r="A81" s="110" t="s">
        <v>178</v>
      </c>
      <c r="B81" s="76"/>
      <c r="C81" s="76"/>
      <c r="D81" s="76"/>
      <c r="E81" s="7">
        <v>7</v>
      </c>
      <c r="F81" s="23">
        <v>1.4403292181069959E-2</v>
      </c>
      <c r="G81" s="7">
        <v>11</v>
      </c>
      <c r="H81" s="23">
        <v>1.5895953757225433E-2</v>
      </c>
      <c r="I81" s="7">
        <v>28</v>
      </c>
      <c r="J81" s="23">
        <v>2.9136316337148804E-2</v>
      </c>
      <c r="K81" s="7">
        <v>55</v>
      </c>
      <c r="L81" s="23">
        <v>2.685546875E-2</v>
      </c>
      <c r="M81" s="7" t="e">
        <f>COUNTIFS(#REF!,"*bình định",#REF!,"người bệnh mới")</f>
        <v>#REF!</v>
      </c>
      <c r="N81" s="23" t="e">
        <f>M81/M113</f>
        <v>#REF!</v>
      </c>
      <c r="O81" s="7" t="e">
        <f>COUNTIFS(#REF!,"*bình định",#REF!,"người bệnh mới")</f>
        <v>#REF!</v>
      </c>
      <c r="P81" s="23" t="e">
        <f>O81/O113</f>
        <v>#REF!</v>
      </c>
      <c r="Q81" s="7" t="e">
        <f>COUNTIFS(#REF!,"*bình định",#REF!,"người bệnh mới")</f>
        <v>#REF!</v>
      </c>
      <c r="R81" s="23" t="e">
        <f>Q81/Q113</f>
        <v>#REF!</v>
      </c>
      <c r="S81" s="7" t="e">
        <f>COUNTIFS(#REF!,"*bình định",#REF!,"người bệnh mới")</f>
        <v>#REF!</v>
      </c>
      <c r="T81" s="23" t="e">
        <f>S81/S113</f>
        <v>#REF!</v>
      </c>
      <c r="U81" s="8"/>
      <c r="V81" s="8"/>
      <c r="W81" s="8"/>
      <c r="X81" s="8"/>
    </row>
    <row r="82" spans="1:24" ht="24" customHeight="1" x14ac:dyDescent="0.25">
      <c r="A82" s="110" t="s">
        <v>179</v>
      </c>
      <c r="B82" s="76"/>
      <c r="C82" s="76"/>
      <c r="D82" s="76"/>
      <c r="E82" s="7">
        <v>9</v>
      </c>
      <c r="F82" s="23">
        <v>1.8518518518518517E-2</v>
      </c>
      <c r="G82" s="7">
        <v>13</v>
      </c>
      <c r="H82" s="23">
        <v>1.8786127167630059E-2</v>
      </c>
      <c r="I82" s="7">
        <v>17</v>
      </c>
      <c r="J82" s="23">
        <v>1.7689906347554629E-2</v>
      </c>
      <c r="K82" s="7">
        <v>42</v>
      </c>
      <c r="L82" s="23">
        <v>2.05078125E-2</v>
      </c>
      <c r="M82" s="7" t="e">
        <f>COUNTIFS(#REF!,"*nghệ an",#REF!,"người bệnh mới")</f>
        <v>#REF!</v>
      </c>
      <c r="N82" s="23" t="e">
        <f>M82/M113</f>
        <v>#REF!</v>
      </c>
      <c r="O82" s="7" t="e">
        <f>COUNTIFS(#REF!,"*nghệ an",#REF!,"người bệnh mới")</f>
        <v>#REF!</v>
      </c>
      <c r="P82" s="23" t="e">
        <f>O82/O113</f>
        <v>#REF!</v>
      </c>
      <c r="Q82" s="7" t="e">
        <f>COUNTIFS(#REF!,"*nghệ an",#REF!,"người bệnh mới")</f>
        <v>#REF!</v>
      </c>
      <c r="R82" s="23" t="e">
        <f>Q82/Q113</f>
        <v>#REF!</v>
      </c>
      <c r="S82" s="7" t="e">
        <f>COUNTIFS(#REF!,"*nghệ an",#REF!,"người bệnh mới")</f>
        <v>#REF!</v>
      </c>
      <c r="T82" s="23" t="e">
        <f>S82/S113</f>
        <v>#REF!</v>
      </c>
      <c r="U82" s="8"/>
      <c r="V82" s="8"/>
      <c r="W82" s="8"/>
      <c r="X82" s="8"/>
    </row>
    <row r="83" spans="1:24" ht="24" customHeight="1" x14ac:dyDescent="0.25">
      <c r="A83" s="110" t="s">
        <v>180</v>
      </c>
      <c r="B83" s="76"/>
      <c r="C83" s="76"/>
      <c r="D83" s="76"/>
      <c r="E83" s="7">
        <v>4</v>
      </c>
      <c r="F83" s="23">
        <v>8.23045267489712E-3</v>
      </c>
      <c r="G83" s="7">
        <v>5</v>
      </c>
      <c r="H83" s="23">
        <v>7.2254335260115606E-3</v>
      </c>
      <c r="I83" s="7">
        <v>8</v>
      </c>
      <c r="J83" s="23">
        <v>8.3246618106139446E-3</v>
      </c>
      <c r="K83" s="7">
        <v>20</v>
      </c>
      <c r="L83" s="23">
        <v>9.765625E-3</v>
      </c>
      <c r="M83" s="7" t="e">
        <f>COUNTIFS(#REF!,"*phú yên",#REF!,"người bệnh mới")</f>
        <v>#REF!</v>
      </c>
      <c r="N83" s="23" t="e">
        <f>M83/M113</f>
        <v>#REF!</v>
      </c>
      <c r="O83" s="7" t="e">
        <f>COUNTIFS(#REF!,"*phú yên",#REF!,"người bệnh mới")</f>
        <v>#REF!</v>
      </c>
      <c r="P83" s="23" t="e">
        <f>O83/O113</f>
        <v>#REF!</v>
      </c>
      <c r="Q83" s="7" t="e">
        <f>COUNTIFS(#REF!,"*phú yên",#REF!,"người bệnh mới")</f>
        <v>#REF!</v>
      </c>
      <c r="R83" s="23" t="e">
        <f>Q83/Q113</f>
        <v>#REF!</v>
      </c>
      <c r="S83" s="7" t="e">
        <f>COUNTIFS(#REF!,"*phú yên",#REF!,"người bệnh mới")</f>
        <v>#REF!</v>
      </c>
      <c r="T83" s="23" t="e">
        <f>S83/S113</f>
        <v>#REF!</v>
      </c>
      <c r="U83" s="8"/>
      <c r="V83" s="8"/>
      <c r="W83" s="8"/>
      <c r="X83" s="8"/>
    </row>
    <row r="84" spans="1:24" ht="24" customHeight="1" x14ac:dyDescent="0.25">
      <c r="A84" s="110" t="s">
        <v>181</v>
      </c>
      <c r="B84" s="76"/>
      <c r="C84" s="76"/>
      <c r="D84" s="76"/>
      <c r="E84" s="7">
        <v>0</v>
      </c>
      <c r="F84" s="23">
        <v>0</v>
      </c>
      <c r="G84" s="7">
        <v>0</v>
      </c>
      <c r="H84" s="23">
        <v>0</v>
      </c>
      <c r="I84" s="7">
        <v>1</v>
      </c>
      <c r="J84" s="23">
        <v>1.0405827263267431E-3</v>
      </c>
      <c r="K84" s="7">
        <v>1</v>
      </c>
      <c r="L84" s="23">
        <v>4.8828125E-4</v>
      </c>
      <c r="M84" s="7" t="e">
        <f>COUNTIFS(#REF!,"*hưng yên",#REF!,"người bệnh mới")</f>
        <v>#REF!</v>
      </c>
      <c r="N84" s="23" t="e">
        <f>M84/M113</f>
        <v>#REF!</v>
      </c>
      <c r="O84" s="7" t="e">
        <f>COUNTIFS(#REF!,"*hưng yên",#REF!,"người bệnh mới")</f>
        <v>#REF!</v>
      </c>
      <c r="P84" s="23" t="e">
        <f>O84/O113</f>
        <v>#REF!</v>
      </c>
      <c r="Q84" s="7" t="e">
        <f>COUNTIFS(#REF!,"*hưng yên",#REF!,"người bệnh mới")</f>
        <v>#REF!</v>
      </c>
      <c r="R84" s="23" t="e">
        <f>Q84/Q113</f>
        <v>#REF!</v>
      </c>
      <c r="S84" s="7" t="e">
        <f>COUNTIFS(#REF!,"*hưng yên",#REF!,"người bệnh mới")</f>
        <v>#REF!</v>
      </c>
      <c r="T84" s="23" t="e">
        <f>S84/S113</f>
        <v>#REF!</v>
      </c>
      <c r="U84" s="8"/>
      <c r="V84" s="8"/>
      <c r="W84" s="8"/>
      <c r="X84" s="8"/>
    </row>
    <row r="85" spans="1:24" ht="24" customHeight="1" x14ac:dyDescent="0.25">
      <c r="A85" s="110" t="s">
        <v>182</v>
      </c>
      <c r="B85" s="76"/>
      <c r="C85" s="76"/>
      <c r="D85" s="76"/>
      <c r="E85" s="7">
        <v>4</v>
      </c>
      <c r="F85" s="23">
        <v>8.23045267489712E-3</v>
      </c>
      <c r="G85" s="7">
        <v>9</v>
      </c>
      <c r="H85" s="23">
        <v>1.300578034682081E-2</v>
      </c>
      <c r="I85" s="7">
        <v>17</v>
      </c>
      <c r="J85" s="23">
        <v>1.7689906347554629E-2</v>
      </c>
      <c r="K85" s="7">
        <v>28</v>
      </c>
      <c r="L85" s="23">
        <v>1.3671875E-2</v>
      </c>
      <c r="M85" s="7" t="e">
        <f>COUNTIFS(#REF!,"*quảng ngãi",#REF!,"người bệnh mới")</f>
        <v>#REF!</v>
      </c>
      <c r="N85" s="23" t="e">
        <f>M85/M113</f>
        <v>#REF!</v>
      </c>
      <c r="O85" s="7" t="e">
        <f>COUNTIFS(#REF!,"*quảng ngãi",#REF!,"người bệnh mới")</f>
        <v>#REF!</v>
      </c>
      <c r="P85" s="23" t="e">
        <f>O85/O113</f>
        <v>#REF!</v>
      </c>
      <c r="Q85" s="7" t="e">
        <f>COUNTIFS(#REF!,"*quảng ngãi",#REF!,"người bệnh mới")</f>
        <v>#REF!</v>
      </c>
      <c r="R85" s="23" t="e">
        <f>Q85/Q113</f>
        <v>#REF!</v>
      </c>
      <c r="S85" s="7" t="e">
        <f>COUNTIFS(#REF!,"*quảng ngãi",#REF!,"người bệnh mới")</f>
        <v>#REF!</v>
      </c>
      <c r="T85" s="23" t="e">
        <f>S85/S113</f>
        <v>#REF!</v>
      </c>
      <c r="U85" s="8"/>
      <c r="V85" s="8"/>
      <c r="W85" s="8"/>
      <c r="X85" s="8"/>
    </row>
    <row r="86" spans="1:24" ht="24" customHeight="1" x14ac:dyDescent="0.25">
      <c r="A86" s="110" t="s">
        <v>183</v>
      </c>
      <c r="B86" s="76"/>
      <c r="C86" s="76"/>
      <c r="D86" s="76"/>
      <c r="E86" s="7">
        <v>2</v>
      </c>
      <c r="F86" s="23">
        <v>4.11522633744856E-3</v>
      </c>
      <c r="G86" s="7">
        <v>4</v>
      </c>
      <c r="H86" s="23">
        <v>5.7803468208092483E-3</v>
      </c>
      <c r="I86" s="7">
        <v>16</v>
      </c>
      <c r="J86" s="23">
        <v>1.6649323621227889E-2</v>
      </c>
      <c r="K86" s="7">
        <v>27</v>
      </c>
      <c r="L86" s="23">
        <v>1.318359375E-2</v>
      </c>
      <c r="M86" s="7" t="e">
        <f>COUNTIFS(#REF!,"*quảng bình",#REF!,"người bệnh mới")</f>
        <v>#REF!</v>
      </c>
      <c r="N86" s="23" t="e">
        <f>M86/M113</f>
        <v>#REF!</v>
      </c>
      <c r="O86" s="7" t="e">
        <f>COUNTIFS(#REF!,"*quảng bình",#REF!,"người bệnh mới")</f>
        <v>#REF!</v>
      </c>
      <c r="P86" s="23" t="e">
        <f>O86/O113</f>
        <v>#REF!</v>
      </c>
      <c r="Q86" s="7" t="e">
        <f>COUNTIFS(#REF!,"*quảng bình",#REF!,"người bệnh mới")</f>
        <v>#REF!</v>
      </c>
      <c r="R86" s="23" t="e">
        <f>Q86/Q113</f>
        <v>#REF!</v>
      </c>
      <c r="S86" s="7" t="e">
        <f>COUNTIFS(#REF!,"*quảng bình",#REF!,"người bệnh mới")</f>
        <v>#REF!</v>
      </c>
      <c r="T86" s="23" t="e">
        <f>S86/S113</f>
        <v>#REF!</v>
      </c>
      <c r="U86" s="8"/>
      <c r="V86" s="8"/>
      <c r="W86" s="8"/>
      <c r="X86" s="8"/>
    </row>
    <row r="87" spans="1:24" ht="24" customHeight="1" x14ac:dyDescent="0.25">
      <c r="A87" s="110" t="s">
        <v>184</v>
      </c>
      <c r="B87" s="76"/>
      <c r="C87" s="76"/>
      <c r="D87" s="76"/>
      <c r="E87" s="7">
        <v>2</v>
      </c>
      <c r="F87" s="23">
        <v>4.11522633744856E-3</v>
      </c>
      <c r="G87" s="7">
        <v>1</v>
      </c>
      <c r="H87" s="23">
        <v>1.4450867052023121E-3</v>
      </c>
      <c r="I87" s="7">
        <v>0</v>
      </c>
      <c r="J87" s="23">
        <v>0</v>
      </c>
      <c r="K87" s="7">
        <v>6</v>
      </c>
      <c r="L87" s="23">
        <v>2.9296875E-3</v>
      </c>
      <c r="M87" s="7" t="e">
        <f>COUNTIFS(#REF!,"*quảng trị",#REF!,"người bệnh mới")</f>
        <v>#REF!</v>
      </c>
      <c r="N87" s="23" t="e">
        <f>M87/M113</f>
        <v>#REF!</v>
      </c>
      <c r="O87" s="7" t="e">
        <f>COUNTIFS(#REF!,"*quảng trị",#REF!,"người bệnh mới")</f>
        <v>#REF!</v>
      </c>
      <c r="P87" s="23" t="e">
        <f>O87/O113</f>
        <v>#REF!</v>
      </c>
      <c r="Q87" s="7" t="e">
        <f>COUNTIFS(#REF!,"*quảng trị",#REF!,"người bệnh mới")</f>
        <v>#REF!</v>
      </c>
      <c r="R87" s="23" t="e">
        <f>Q87/Q113</f>
        <v>#REF!</v>
      </c>
      <c r="S87" s="7" t="e">
        <f>COUNTIFS(#REF!,"*quảng trị",#REF!,"người bệnh mới")</f>
        <v>#REF!</v>
      </c>
      <c r="T87" s="23" t="e">
        <f>S87/S113</f>
        <v>#REF!</v>
      </c>
      <c r="U87" s="8"/>
      <c r="V87" s="8"/>
      <c r="W87" s="8"/>
      <c r="X87" s="8"/>
    </row>
    <row r="88" spans="1:24" ht="24" customHeight="1" x14ac:dyDescent="0.25">
      <c r="A88" s="110" t="s">
        <v>185</v>
      </c>
      <c r="B88" s="76"/>
      <c r="C88" s="76"/>
      <c r="D88" s="76"/>
      <c r="E88" s="7">
        <v>1</v>
      </c>
      <c r="F88" s="23">
        <v>2.05761316872428E-3</v>
      </c>
      <c r="G88" s="7">
        <v>4</v>
      </c>
      <c r="H88" s="23">
        <v>5.7803468208092483E-3</v>
      </c>
      <c r="I88" s="7">
        <v>0</v>
      </c>
      <c r="J88" s="23">
        <v>0</v>
      </c>
      <c r="K88" s="7">
        <v>3</v>
      </c>
      <c r="L88" s="23">
        <v>1.46484375E-3</v>
      </c>
      <c r="M88" s="7" t="e">
        <f>COUNTIFS(#REF!,"*Đà Nẵng",#REF!,"người bệnh mới")+ COUNTIFS(#REF!,"*Thành phố Đà Nẵng",#REF!,"người bệnh mới")</f>
        <v>#REF!</v>
      </c>
      <c r="N88" s="23" t="e">
        <f>M88/M113</f>
        <v>#REF!</v>
      </c>
      <c r="O88" s="7" t="e">
        <f>COUNTIFS(#REF!,"*Đà Nẵng",#REF!,"người bệnh mới")+ COUNTIFS(#REF!,"*Thành phố Đà Nẵng",#REF!,"người bệnh mới")</f>
        <v>#REF!</v>
      </c>
      <c r="P88" s="23" t="e">
        <f>O88/O113</f>
        <v>#REF!</v>
      </c>
      <c r="Q88" s="7" t="e">
        <f>COUNTIFS(#REF!,"*Đà Nẵng",#REF!,"người bệnh mới")+ COUNTIFS(#REF!,"*Thành phố Đà Nẵng",#REF!,"người bệnh mới")</f>
        <v>#REF!</v>
      </c>
      <c r="R88" s="23" t="e">
        <f>Q88/Q113</f>
        <v>#REF!</v>
      </c>
      <c r="S88" s="7" t="e">
        <f>COUNTIFS(#REF!,"*Đà Nẵng",#REF!,"người bệnh mới")+ COUNTIFS(#REF!,"*Thành phố Đà Nẵng",#REF!,"người bệnh mới")</f>
        <v>#REF!</v>
      </c>
      <c r="T88" s="23" t="e">
        <f>S88/S113</f>
        <v>#REF!</v>
      </c>
      <c r="U88" s="8"/>
      <c r="V88" s="8"/>
      <c r="W88" s="8"/>
      <c r="X88" s="8"/>
    </row>
    <row r="89" spans="1:24" ht="24" customHeight="1" x14ac:dyDescent="0.25">
      <c r="A89" s="111" t="s">
        <v>186</v>
      </c>
      <c r="B89" s="76"/>
      <c r="C89" s="76"/>
      <c r="D89" s="76"/>
      <c r="E89" s="28">
        <v>32</v>
      </c>
      <c r="F89" s="29">
        <v>6.584362139917696E-2</v>
      </c>
      <c r="G89" s="28">
        <v>49</v>
      </c>
      <c r="H89" s="29">
        <v>7.0809248554913301E-2</v>
      </c>
      <c r="I89" s="28">
        <v>87</v>
      </c>
      <c r="J89" s="29">
        <v>9.053069719042664E-2</v>
      </c>
      <c r="K89" s="28">
        <v>166</v>
      </c>
      <c r="L89" s="29">
        <v>8.10546875E-2</v>
      </c>
      <c r="M89" s="28" t="e">
        <f>SUM(M90:M94)</f>
        <v>#REF!</v>
      </c>
      <c r="N89" s="29" t="e">
        <f>M89/M113</f>
        <v>#REF!</v>
      </c>
      <c r="O89" s="28" t="e">
        <f>SUM(O90:O94)</f>
        <v>#REF!</v>
      </c>
      <c r="P89" s="29" t="e">
        <f>O89/O113</f>
        <v>#REF!</v>
      </c>
      <c r="Q89" s="28" t="e">
        <f>SUM(Q90:Q94)</f>
        <v>#REF!</v>
      </c>
      <c r="R89" s="29" t="e">
        <f>Q89/Q113</f>
        <v>#REF!</v>
      </c>
      <c r="S89" s="28" t="e">
        <f>SUM(S90:S94)</f>
        <v>#REF!</v>
      </c>
      <c r="T89" s="29" t="e">
        <f>S89/S113</f>
        <v>#REF!</v>
      </c>
      <c r="U89" s="8"/>
      <c r="V89" s="8"/>
      <c r="W89" s="8"/>
      <c r="X89" s="8"/>
    </row>
    <row r="90" spans="1:24" ht="24" customHeight="1" x14ac:dyDescent="0.25">
      <c r="A90" s="110" t="s">
        <v>187</v>
      </c>
      <c r="B90" s="76"/>
      <c r="C90" s="76"/>
      <c r="D90" s="76"/>
      <c r="E90" s="7">
        <v>4</v>
      </c>
      <c r="F90" s="23">
        <v>8.23045267489712E-3</v>
      </c>
      <c r="G90" s="7">
        <v>3</v>
      </c>
      <c r="H90" s="23">
        <v>4.335260115606936E-3</v>
      </c>
      <c r="I90" s="7">
        <v>5</v>
      </c>
      <c r="J90" s="23">
        <v>5.2029136316337149E-3</v>
      </c>
      <c r="K90" s="7">
        <v>25</v>
      </c>
      <c r="L90" s="23">
        <v>1.220703125E-2</v>
      </c>
      <c r="M90" s="7" t="e">
        <f>COUNTIFS(#REF!,"*đắk nông",#REF!,"người bệnh mới")</f>
        <v>#REF!</v>
      </c>
      <c r="N90" s="23" t="e">
        <f>M90/M113</f>
        <v>#REF!</v>
      </c>
      <c r="O90" s="7" t="e">
        <f>COUNTIFS(#REF!,"*đắk nông",#REF!,"người bệnh mới")</f>
        <v>#REF!</v>
      </c>
      <c r="P90" s="23" t="e">
        <f>O90/O113</f>
        <v>#REF!</v>
      </c>
      <c r="Q90" s="7" t="e">
        <f>COUNTIFS(#REF!,"*đắk nông",#REF!,"người bệnh mới")</f>
        <v>#REF!</v>
      </c>
      <c r="R90" s="23" t="e">
        <f>Q90/Q113</f>
        <v>#REF!</v>
      </c>
      <c r="S90" s="7" t="e">
        <f>COUNTIFS(#REF!,"*đắk nông",#REF!,"người bệnh mới")</f>
        <v>#REF!</v>
      </c>
      <c r="T90" s="23" t="e">
        <f>S90/S113</f>
        <v>#REF!</v>
      </c>
      <c r="U90" s="8"/>
      <c r="V90" s="8"/>
      <c r="W90" s="8"/>
      <c r="X90" s="8"/>
    </row>
    <row r="91" spans="1:24" ht="24" customHeight="1" x14ac:dyDescent="0.25">
      <c r="A91" s="110" t="s">
        <v>188</v>
      </c>
      <c r="B91" s="76"/>
      <c r="C91" s="76"/>
      <c r="D91" s="76"/>
      <c r="E91" s="7">
        <v>9</v>
      </c>
      <c r="F91" s="23">
        <v>1.8518518518518517E-2</v>
      </c>
      <c r="G91" s="7">
        <v>19</v>
      </c>
      <c r="H91" s="23">
        <v>2.7456647398843931E-2</v>
      </c>
      <c r="I91" s="7">
        <v>47</v>
      </c>
      <c r="J91" s="23">
        <v>4.8907388137356921E-2</v>
      </c>
      <c r="K91" s="7">
        <v>76</v>
      </c>
      <c r="L91" s="23">
        <v>3.7109375E-2</v>
      </c>
      <c r="M91" s="7" t="e">
        <f>COUNTIFS(#REF!,"*lâm đồng",#REF!,"người bệnh mới")</f>
        <v>#REF!</v>
      </c>
      <c r="N91" s="23" t="e">
        <f>M91/M113</f>
        <v>#REF!</v>
      </c>
      <c r="O91" s="7" t="e">
        <f>COUNTIFS(#REF!,"*lâm đồng",#REF!,"người bệnh mới")</f>
        <v>#REF!</v>
      </c>
      <c r="P91" s="23" t="e">
        <f>O91/O113</f>
        <v>#REF!</v>
      </c>
      <c r="Q91" s="7" t="e">
        <f>COUNTIFS(#REF!,"*lâm đồng",#REF!,"người bệnh mới")</f>
        <v>#REF!</v>
      </c>
      <c r="R91" s="23" t="e">
        <f>Q91/Q113</f>
        <v>#REF!</v>
      </c>
      <c r="S91" s="7" t="e">
        <f>COUNTIFS(#REF!,"*lâm đồng",#REF!,"người bệnh mới")</f>
        <v>#REF!</v>
      </c>
      <c r="T91" s="23" t="e">
        <f>S91/S113</f>
        <v>#REF!</v>
      </c>
      <c r="U91" s="8"/>
      <c r="V91" s="8"/>
      <c r="W91" s="8"/>
      <c r="X91" s="8"/>
    </row>
    <row r="92" spans="1:24" ht="24" customHeight="1" x14ac:dyDescent="0.25">
      <c r="A92" s="110" t="s">
        <v>189</v>
      </c>
      <c r="B92" s="76"/>
      <c r="C92" s="76"/>
      <c r="D92" s="76"/>
      <c r="E92" s="7">
        <v>6</v>
      </c>
      <c r="F92" s="23">
        <v>1.2345679012345678E-2</v>
      </c>
      <c r="G92" s="7">
        <v>8</v>
      </c>
      <c r="H92" s="23">
        <v>1.1560693641618497E-2</v>
      </c>
      <c r="I92" s="7">
        <v>11</v>
      </c>
      <c r="J92" s="23">
        <v>1.1446409989594173E-2</v>
      </c>
      <c r="K92" s="7">
        <v>25</v>
      </c>
      <c r="L92" s="23">
        <v>1.220703125E-2</v>
      </c>
      <c r="M92" s="7" t="e">
        <f>COUNTIFS(#REF!,"*gia lai",#REF!,"người bệnh mới")</f>
        <v>#REF!</v>
      </c>
      <c r="N92" s="23" t="e">
        <f>M92/M113</f>
        <v>#REF!</v>
      </c>
      <c r="O92" s="7" t="e">
        <f>COUNTIFS(#REF!,"*gia lai",#REF!,"người bệnh mới")</f>
        <v>#REF!</v>
      </c>
      <c r="P92" s="23" t="e">
        <f>O92/O113</f>
        <v>#REF!</v>
      </c>
      <c r="Q92" s="7" t="e">
        <f>COUNTIFS(#REF!,"*gia lai",#REF!,"người bệnh mới")</f>
        <v>#REF!</v>
      </c>
      <c r="R92" s="23" t="e">
        <f>Q92/Q113</f>
        <v>#REF!</v>
      </c>
      <c r="S92" s="7" t="e">
        <f>COUNTIFS(#REF!,"*gia lai",#REF!,"người bệnh mới")</f>
        <v>#REF!</v>
      </c>
      <c r="T92" s="23" t="e">
        <f>S92/S113</f>
        <v>#REF!</v>
      </c>
      <c r="U92" s="8"/>
      <c r="V92" s="8"/>
      <c r="W92" s="8"/>
      <c r="X92" s="8"/>
    </row>
    <row r="93" spans="1:24" ht="24" customHeight="1" x14ac:dyDescent="0.25">
      <c r="A93" s="110" t="s">
        <v>190</v>
      </c>
      <c r="B93" s="76"/>
      <c r="C93" s="76"/>
      <c r="D93" s="76"/>
      <c r="E93" s="7">
        <v>11</v>
      </c>
      <c r="F93" s="23">
        <v>2.2633744855967079E-2</v>
      </c>
      <c r="G93" s="7">
        <v>15</v>
      </c>
      <c r="H93" s="23">
        <v>2.1676300578034682E-2</v>
      </c>
      <c r="I93" s="7">
        <v>22</v>
      </c>
      <c r="J93" s="23">
        <v>2.2892819979188347E-2</v>
      </c>
      <c r="K93" s="7">
        <v>38</v>
      </c>
      <c r="L93" s="23">
        <v>1.85546875E-2</v>
      </c>
      <c r="M93" s="7" t="e">
        <f>COUNTIFS(#REF!,"*đắk lắk",#REF!,"người bệnh mới")+COUNTIFS(#REF!,"*thành phố buôn ma thuộc",#REF!,"người bệnh mới")</f>
        <v>#REF!</v>
      </c>
      <c r="N93" s="23" t="e">
        <f>M93/M113</f>
        <v>#REF!</v>
      </c>
      <c r="O93" s="7" t="e">
        <f>COUNTIFS(#REF!,"*đắk lắk",#REF!,"người bệnh mới")+COUNTIFS(#REF!,"*thành phố buôn ma thuộc",#REF!,"người bệnh mới")</f>
        <v>#REF!</v>
      </c>
      <c r="P93" s="23" t="e">
        <f>O93/O113</f>
        <v>#REF!</v>
      </c>
      <c r="Q93" s="7" t="e">
        <f>COUNTIFS(#REF!,"*đắk lắk",#REF!,"người bệnh mới")+COUNTIFS(#REF!,"*thành phố buôn ma thuộc",#REF!,"người bệnh mới")</f>
        <v>#REF!</v>
      </c>
      <c r="R93" s="23" t="e">
        <f>Q93/Q113</f>
        <v>#REF!</v>
      </c>
      <c r="S93" s="7" t="e">
        <f>COUNTIFS(#REF!,"*đắk lắk",#REF!,"người bệnh mới")+COUNTIFS(#REF!,"*thành phố buôn ma thuộc",#REF!,"người bệnh mới")</f>
        <v>#REF!</v>
      </c>
      <c r="T93" s="23" t="e">
        <f>S93/S113</f>
        <v>#REF!</v>
      </c>
      <c r="U93" s="8"/>
      <c r="V93" s="8"/>
      <c r="W93" s="8"/>
      <c r="X93" s="8"/>
    </row>
    <row r="94" spans="1:24" ht="24" customHeight="1" x14ac:dyDescent="0.25">
      <c r="A94" s="110" t="s">
        <v>191</v>
      </c>
      <c r="B94" s="76"/>
      <c r="C94" s="76"/>
      <c r="D94" s="76"/>
      <c r="E94" s="7">
        <v>2</v>
      </c>
      <c r="F94" s="23">
        <v>4.11522633744856E-3</v>
      </c>
      <c r="G94" s="7">
        <v>4</v>
      </c>
      <c r="H94" s="23">
        <v>5.7803468208092483E-3</v>
      </c>
      <c r="I94" s="7">
        <v>2</v>
      </c>
      <c r="J94" s="23">
        <v>2.0811654526534861E-3</v>
      </c>
      <c r="K94" s="7">
        <v>2</v>
      </c>
      <c r="L94" s="23">
        <v>9.765625E-4</v>
      </c>
      <c r="M94" s="7" t="e">
        <f>COUNTIFS(#REF!,"*kon tum",#REF!,"người bệnh mới")</f>
        <v>#REF!</v>
      </c>
      <c r="N94" s="23" t="e">
        <f>M94/M113</f>
        <v>#REF!</v>
      </c>
      <c r="O94" s="7" t="e">
        <f>COUNTIFS(#REF!,"*kon tum",#REF!,"người bệnh mới")</f>
        <v>#REF!</v>
      </c>
      <c r="P94" s="23" t="e">
        <f>O94/O113</f>
        <v>#REF!</v>
      </c>
      <c r="Q94" s="7" t="e">
        <f>COUNTIFS(#REF!,"*kon tum",#REF!,"người bệnh mới")</f>
        <v>#REF!</v>
      </c>
      <c r="R94" s="23" t="e">
        <f>Q94/Q113</f>
        <v>#REF!</v>
      </c>
      <c r="S94" s="7" t="e">
        <f>COUNTIFS(#REF!,"*kon tum",#REF!,"người bệnh mới")</f>
        <v>#REF!</v>
      </c>
      <c r="T94" s="23" t="e">
        <f>S94/S113</f>
        <v>#REF!</v>
      </c>
      <c r="U94" s="8"/>
      <c r="V94" s="8"/>
      <c r="W94" s="8"/>
      <c r="X94" s="8"/>
    </row>
    <row r="95" spans="1:24" ht="24" customHeight="1" x14ac:dyDescent="0.25">
      <c r="A95" s="111" t="s">
        <v>192</v>
      </c>
      <c r="B95" s="76"/>
      <c r="C95" s="76"/>
      <c r="D95" s="76"/>
      <c r="E95" s="28">
        <v>14</v>
      </c>
      <c r="F95" s="29">
        <v>2.8806584362139918E-2</v>
      </c>
      <c r="G95" s="28">
        <v>14</v>
      </c>
      <c r="H95" s="29">
        <v>2.023121387283237E-2</v>
      </c>
      <c r="I95" s="28">
        <v>22</v>
      </c>
      <c r="J95" s="29">
        <v>2.2892819979188347E-2</v>
      </c>
      <c r="K95" s="28">
        <v>39</v>
      </c>
      <c r="L95" s="29">
        <v>1.904296875E-2</v>
      </c>
      <c r="M95" s="28" t="e">
        <f>SUM(M96:M112)</f>
        <v>#REF!</v>
      </c>
      <c r="N95" s="29" t="e">
        <f>M95/M113</f>
        <v>#REF!</v>
      </c>
      <c r="O95" s="28" t="e">
        <f>SUM(O96:O112)</f>
        <v>#REF!</v>
      </c>
      <c r="P95" s="29" t="e">
        <f>O95/O113</f>
        <v>#REF!</v>
      </c>
      <c r="Q95" s="28" t="e">
        <f>SUM(Q96:Q112)</f>
        <v>#REF!</v>
      </c>
      <c r="R95" s="29" t="e">
        <f>Q95/Q113</f>
        <v>#REF!</v>
      </c>
      <c r="S95" s="28" t="e">
        <f>SUM(S96:S112)</f>
        <v>#REF!</v>
      </c>
      <c r="T95" s="29" t="e">
        <f>S95/S113</f>
        <v>#REF!</v>
      </c>
      <c r="U95" s="8"/>
      <c r="V95" s="8"/>
      <c r="W95" s="8"/>
      <c r="X95" s="8"/>
    </row>
    <row r="96" spans="1:24" ht="24" customHeight="1" x14ac:dyDescent="0.25">
      <c r="A96" s="110" t="s">
        <v>193</v>
      </c>
      <c r="B96" s="76"/>
      <c r="C96" s="76"/>
      <c r="D96" s="76"/>
      <c r="E96" s="7">
        <v>4</v>
      </c>
      <c r="F96" s="23">
        <v>8.23045267489712E-3</v>
      </c>
      <c r="G96" s="7">
        <v>0</v>
      </c>
      <c r="H96" s="23">
        <v>0</v>
      </c>
      <c r="I96" s="7">
        <v>3</v>
      </c>
      <c r="J96" s="23">
        <v>3.1217481789802288E-3</v>
      </c>
      <c r="K96" s="7">
        <v>7</v>
      </c>
      <c r="L96" s="23">
        <v>3.41796875E-3</v>
      </c>
      <c r="M96" s="7" t="e">
        <f>COUNTIFS(#REF!,"*cambodian",#REF!,"người bệnh mới")+COUNTIFS(#REF!,"*campuchia",#REF!,"người bệnh mới")</f>
        <v>#REF!</v>
      </c>
      <c r="N96" s="23" t="e">
        <f>M96/M113</f>
        <v>#REF!</v>
      </c>
      <c r="O96" s="7" t="e">
        <f>COUNTIFS(#REF!,"*cambodian",#REF!,"người bệnh mới")+COUNTIFS(#REF!,"*campuchia",#REF!,"người bệnh mới")</f>
        <v>#REF!</v>
      </c>
      <c r="P96" s="23" t="e">
        <f>O96/O113</f>
        <v>#REF!</v>
      </c>
      <c r="Q96" s="7" t="e">
        <f>COUNTIFS(#REF!,"*cambodian",#REF!,"người bệnh mới")+COUNTIFS(#REF!,"*campuchia",#REF!,"người bệnh mới")</f>
        <v>#REF!</v>
      </c>
      <c r="R96" s="23" t="e">
        <f>Q96/Q113</f>
        <v>#REF!</v>
      </c>
      <c r="S96" s="7" t="e">
        <f>COUNTIFS(#REF!,"*cambodian",#REF!,"người bệnh mới")+COUNTIFS(#REF!,"*campuchia",#REF!,"người bệnh mới")</f>
        <v>#REF!</v>
      </c>
      <c r="T96" s="23" t="e">
        <f>S96/S113</f>
        <v>#REF!</v>
      </c>
      <c r="U96" s="8"/>
      <c r="V96" s="8"/>
      <c r="W96" s="8"/>
      <c r="X96" s="8"/>
    </row>
    <row r="97" spans="1:24" ht="24" customHeight="1" x14ac:dyDescent="0.25">
      <c r="A97" s="110" t="s">
        <v>194</v>
      </c>
      <c r="B97" s="76"/>
      <c r="C97" s="76"/>
      <c r="D97" s="76"/>
      <c r="E97" s="7">
        <v>0</v>
      </c>
      <c r="F97" s="23">
        <v>0</v>
      </c>
      <c r="G97" s="7">
        <v>0</v>
      </c>
      <c r="H97" s="23">
        <v>0</v>
      </c>
      <c r="I97" s="7">
        <v>0</v>
      </c>
      <c r="J97" s="23">
        <v>0</v>
      </c>
      <c r="K97" s="7">
        <v>0</v>
      </c>
      <c r="L97" s="23">
        <v>0</v>
      </c>
      <c r="M97" s="7" t="e">
        <f>COUNTIFS(#REF!,"*singapore",#REF!,"người bệnh mới")</f>
        <v>#REF!</v>
      </c>
      <c r="N97" s="23" t="e">
        <f>M97/M113</f>
        <v>#REF!</v>
      </c>
      <c r="O97" s="7" t="e">
        <f>COUNTIFS(#REF!,"*singapore",#REF!,"người bệnh mới")</f>
        <v>#REF!</v>
      </c>
      <c r="P97" s="23" t="e">
        <f>O97/O113</f>
        <v>#REF!</v>
      </c>
      <c r="Q97" s="7" t="e">
        <f>COUNTIFS(#REF!,"*singapore",#REF!,"người bệnh mới")</f>
        <v>#REF!</v>
      </c>
      <c r="R97" s="23" t="e">
        <f>Q97/Q113</f>
        <v>#REF!</v>
      </c>
      <c r="S97" s="7" t="e">
        <f>COUNTIFS(#REF!,"*singapore",#REF!,"người bệnh mới")</f>
        <v>#REF!</v>
      </c>
      <c r="T97" s="23" t="e">
        <f>S97/S113</f>
        <v>#REF!</v>
      </c>
      <c r="U97" s="8"/>
      <c r="V97" s="8"/>
      <c r="W97" s="8"/>
      <c r="X97" s="8"/>
    </row>
    <row r="98" spans="1:24" ht="24" customHeight="1" x14ac:dyDescent="0.25">
      <c r="A98" s="110" t="s">
        <v>195</v>
      </c>
      <c r="B98" s="76"/>
      <c r="C98" s="76"/>
      <c r="D98" s="76"/>
      <c r="E98" s="7">
        <v>0</v>
      </c>
      <c r="F98" s="23">
        <v>0</v>
      </c>
      <c r="G98" s="7">
        <v>0</v>
      </c>
      <c r="H98" s="23">
        <v>0</v>
      </c>
      <c r="I98" s="7">
        <v>0</v>
      </c>
      <c r="J98" s="23">
        <v>0</v>
      </c>
      <c r="K98" s="7">
        <v>0</v>
      </c>
      <c r="L98" s="23">
        <v>0</v>
      </c>
      <c r="M98" s="7" t="e">
        <f>COUNTIFS(#REF!,"*pakisstan",#REF!,"người bệnh mới")</f>
        <v>#REF!</v>
      </c>
      <c r="N98" s="23" t="e">
        <f>M98/M113</f>
        <v>#REF!</v>
      </c>
      <c r="O98" s="7" t="e">
        <f>COUNTIFS(#REF!,"*pakisstan",#REF!,"người bệnh mới")</f>
        <v>#REF!</v>
      </c>
      <c r="P98" s="23" t="e">
        <f>O98/O113</f>
        <v>#REF!</v>
      </c>
      <c r="Q98" s="7" t="e">
        <f>COUNTIFS(#REF!,"*pakisstan",#REF!,"người bệnh mới")</f>
        <v>#REF!</v>
      </c>
      <c r="R98" s="23" t="e">
        <f>Q98/Q113</f>
        <v>#REF!</v>
      </c>
      <c r="S98" s="7" t="e">
        <f>COUNTIFS(#REF!,"*pakisstan",#REF!,"người bệnh mới")</f>
        <v>#REF!</v>
      </c>
      <c r="T98" s="23" t="e">
        <f>S98/S113</f>
        <v>#REF!</v>
      </c>
      <c r="U98" s="8"/>
      <c r="V98" s="8"/>
      <c r="W98" s="8"/>
      <c r="X98" s="8"/>
    </row>
    <row r="99" spans="1:24" ht="24" customHeight="1" x14ac:dyDescent="0.25">
      <c r="A99" s="110" t="s">
        <v>196</v>
      </c>
      <c r="B99" s="76"/>
      <c r="C99" s="76"/>
      <c r="D99" s="76"/>
      <c r="E99" s="7">
        <v>0</v>
      </c>
      <c r="F99" s="23">
        <v>0</v>
      </c>
      <c r="G99" s="7">
        <v>0</v>
      </c>
      <c r="H99" s="23">
        <v>0</v>
      </c>
      <c r="I99" s="7">
        <v>0</v>
      </c>
      <c r="J99" s="23">
        <v>0</v>
      </c>
      <c r="K99" s="7">
        <v>0</v>
      </c>
      <c r="L99" s="23">
        <v>0</v>
      </c>
      <c r="M99" s="7" t="e">
        <f>COUNTIFS(#REF!,"*italy",#REF!,"người bệnh mới")</f>
        <v>#REF!</v>
      </c>
      <c r="N99" s="23" t="e">
        <f>M99/M113</f>
        <v>#REF!</v>
      </c>
      <c r="O99" s="7" t="e">
        <f>COUNTIFS(#REF!,"*italy",#REF!,"người bệnh mới")</f>
        <v>#REF!</v>
      </c>
      <c r="P99" s="23" t="e">
        <f>O99/O113</f>
        <v>#REF!</v>
      </c>
      <c r="Q99" s="7" t="e">
        <f>COUNTIFS(#REF!,"*italy",#REF!,"người bệnh mới")</f>
        <v>#REF!</v>
      </c>
      <c r="R99" s="23" t="e">
        <f>Q99/Q113</f>
        <v>#REF!</v>
      </c>
      <c r="S99" s="7" t="e">
        <f>COUNTIFS(#REF!,"*italy",#REF!,"người bệnh mới")</f>
        <v>#REF!</v>
      </c>
      <c r="T99" s="23" t="e">
        <f>S99/S113</f>
        <v>#REF!</v>
      </c>
      <c r="U99" s="8"/>
      <c r="V99" s="8"/>
      <c r="W99" s="8"/>
      <c r="X99" s="8"/>
    </row>
    <row r="100" spans="1:24" ht="24" customHeight="1" x14ac:dyDescent="0.25">
      <c r="A100" s="110" t="s">
        <v>197</v>
      </c>
      <c r="B100" s="76"/>
      <c r="C100" s="76"/>
      <c r="D100" s="76"/>
      <c r="E100" s="7">
        <v>0</v>
      </c>
      <c r="F100" s="23">
        <v>0</v>
      </c>
      <c r="G100" s="7">
        <v>0</v>
      </c>
      <c r="H100" s="23">
        <v>0</v>
      </c>
      <c r="I100" s="7">
        <v>0</v>
      </c>
      <c r="J100" s="23">
        <v>0</v>
      </c>
      <c r="K100" s="7">
        <v>0</v>
      </c>
      <c r="L100" s="23">
        <v>0</v>
      </c>
      <c r="M100" s="7" t="e">
        <f>COUNTIFS(#REF!,"*đài loan",#REF!,"người bệnh mới")</f>
        <v>#REF!</v>
      </c>
      <c r="N100" s="23" t="e">
        <f>M100/M113</f>
        <v>#REF!</v>
      </c>
      <c r="O100" s="7" t="e">
        <f>COUNTIFS(#REF!,"*đài loan",#REF!,"người bệnh mới")</f>
        <v>#REF!</v>
      </c>
      <c r="P100" s="23" t="e">
        <f>O100/O113</f>
        <v>#REF!</v>
      </c>
      <c r="Q100" s="7" t="e">
        <f>COUNTIFS(#REF!,"*đài loan",#REF!,"người bệnh mới")</f>
        <v>#REF!</v>
      </c>
      <c r="R100" s="23" t="e">
        <f>Q100/Q113</f>
        <v>#REF!</v>
      </c>
      <c r="S100" s="7" t="e">
        <f>COUNTIFS(#REF!,"*đài loan",#REF!,"người bệnh mới")</f>
        <v>#REF!</v>
      </c>
      <c r="T100" s="23" t="e">
        <f>S100/S113</f>
        <v>#REF!</v>
      </c>
      <c r="U100" s="8"/>
      <c r="V100" s="8"/>
      <c r="W100" s="8"/>
      <c r="X100" s="8"/>
    </row>
    <row r="101" spans="1:24" ht="24" customHeight="1" x14ac:dyDescent="0.25">
      <c r="A101" s="110" t="s">
        <v>198</v>
      </c>
      <c r="B101" s="76"/>
      <c r="C101" s="76"/>
      <c r="D101" s="76"/>
      <c r="E101" s="7">
        <v>0</v>
      </c>
      <c r="F101" s="23">
        <v>0</v>
      </c>
      <c r="G101" s="7">
        <v>0</v>
      </c>
      <c r="H101" s="23">
        <v>0</v>
      </c>
      <c r="I101" s="7">
        <v>0</v>
      </c>
      <c r="J101" s="23">
        <v>0</v>
      </c>
      <c r="K101" s="7">
        <v>0</v>
      </c>
      <c r="L101" s="23">
        <v>0</v>
      </c>
      <c r="M101" s="7" t="e">
        <f>COUNTIFS(#REF!,"*philippin",#REF!,"người bệnh mới")+COUNTIFS(#REF!,"*filipino",#REF!,"người bệnh mới")+COUNTIFS(#REF!,"*Philippine",#REF!,"người bệnh mới")</f>
        <v>#REF!</v>
      </c>
      <c r="N101" s="23" t="e">
        <f>M101/M113</f>
        <v>#REF!</v>
      </c>
      <c r="O101" s="7" t="e">
        <f>COUNTIFS(#REF!,"*philippin",#REF!,"người bệnh mới")+COUNTIFS(#REF!,"*filipino",#REF!,"người bệnh mới")+COUNTIFS(#REF!,"*Philippine",#REF!,"người bệnh mới")</f>
        <v>#REF!</v>
      </c>
      <c r="P101" s="23" t="e">
        <f>O101/O113</f>
        <v>#REF!</v>
      </c>
      <c r="Q101" s="7" t="e">
        <f>COUNTIFS(#REF!,"*philippin",#REF!,"người bệnh mới")+COUNTIFS(#REF!,"*filipino",#REF!,"người bệnh mới")+COUNTIFS(#REF!,"*Philippine",#REF!,"người bệnh mới")</f>
        <v>#REF!</v>
      </c>
      <c r="R101" s="23" t="e">
        <f>Q101/Q113</f>
        <v>#REF!</v>
      </c>
      <c r="S101" s="7" t="e">
        <f>COUNTIFS(#REF!,"*philippin",#REF!,"người bệnh mới")+COUNTIFS(#REF!,"*filipino",#REF!,"người bệnh mới")+COUNTIFS(#REF!,"*Philippine",#REF!,"người bệnh mới")</f>
        <v>#REF!</v>
      </c>
      <c r="T101" s="23" t="e">
        <f>S101/S113</f>
        <v>#REF!</v>
      </c>
      <c r="U101" s="8"/>
      <c r="V101" s="8"/>
      <c r="W101" s="8"/>
      <c r="X101" s="8"/>
    </row>
    <row r="102" spans="1:24" ht="24" customHeight="1" x14ac:dyDescent="0.25">
      <c r="A102" s="110" t="s">
        <v>199</v>
      </c>
      <c r="B102" s="76"/>
      <c r="C102" s="76"/>
      <c r="D102" s="76"/>
      <c r="E102" s="7">
        <v>0</v>
      </c>
      <c r="F102" s="23">
        <v>0</v>
      </c>
      <c r="G102" s="7">
        <v>0</v>
      </c>
      <c r="H102" s="23">
        <v>0</v>
      </c>
      <c r="I102" s="7">
        <v>1</v>
      </c>
      <c r="J102" s="23">
        <v>1.0405827263267431E-3</v>
      </c>
      <c r="K102" s="7">
        <v>1</v>
      </c>
      <c r="L102" s="23">
        <v>4.8828125E-4</v>
      </c>
      <c r="M102" s="7" t="e">
        <f>COUNTIFS(#REF!,"*canadian",#REF!,"người bệnh mới")</f>
        <v>#REF!</v>
      </c>
      <c r="N102" s="23" t="e">
        <f>M102/M113</f>
        <v>#REF!</v>
      </c>
      <c r="O102" s="7" t="e">
        <f>COUNTIFS(#REF!,"*canadian",#REF!,"người bệnh mới")</f>
        <v>#REF!</v>
      </c>
      <c r="P102" s="23" t="e">
        <f>O102/O113</f>
        <v>#REF!</v>
      </c>
      <c r="Q102" s="7" t="e">
        <f>COUNTIFS(#REF!,"*canadian",#REF!,"người bệnh mới")</f>
        <v>#REF!</v>
      </c>
      <c r="R102" s="23" t="e">
        <f>Q102/Q113</f>
        <v>#REF!</v>
      </c>
      <c r="S102" s="7" t="e">
        <f>COUNTIFS(#REF!,"*canadian",#REF!,"người bệnh mới")</f>
        <v>#REF!</v>
      </c>
      <c r="T102" s="23" t="e">
        <f>S102/S113</f>
        <v>#REF!</v>
      </c>
      <c r="U102" s="8"/>
      <c r="V102" s="8"/>
      <c r="W102" s="8"/>
      <c r="X102" s="8"/>
    </row>
    <row r="103" spans="1:24" ht="24" customHeight="1" x14ac:dyDescent="0.25">
      <c r="A103" s="110" t="s">
        <v>200</v>
      </c>
      <c r="B103" s="76"/>
      <c r="C103" s="76"/>
      <c r="D103" s="76"/>
      <c r="E103" s="7">
        <v>0</v>
      </c>
      <c r="F103" s="23">
        <v>0</v>
      </c>
      <c r="G103" s="7">
        <v>0</v>
      </c>
      <c r="H103" s="23">
        <v>0</v>
      </c>
      <c r="I103" s="7">
        <v>1</v>
      </c>
      <c r="J103" s="23">
        <v>1.0405827263267431E-3</v>
      </c>
      <c r="K103" s="7">
        <v>1</v>
      </c>
      <c r="L103" s="23">
        <v>4.8828125E-4</v>
      </c>
      <c r="M103" s="7" t="e">
        <f>COUNTIFS(#REF!,"*British Citizen",#REF!,"người bệnh mới")+COUNTIFS(#REF!,"*Anh",#REF!,"người bệnh mới")</f>
        <v>#REF!</v>
      </c>
      <c r="N103" s="23" t="e">
        <f>M103/M113</f>
        <v>#REF!</v>
      </c>
      <c r="O103" s="7" t="e">
        <f>COUNTIFS(#REF!,"*British Citizen",#REF!,"người bệnh mới")+COUNTIFS(#REF!,"*Anh",#REF!,"người bệnh mới")</f>
        <v>#REF!</v>
      </c>
      <c r="P103" s="23" t="e">
        <f>O103/O113</f>
        <v>#REF!</v>
      </c>
      <c r="Q103" s="7" t="e">
        <f>COUNTIFS(#REF!,"*British Citizen",#REF!,"người bệnh mới")+COUNTIFS(#REF!,"*Anh",#REF!,"người bệnh mới")</f>
        <v>#REF!</v>
      </c>
      <c r="R103" s="23" t="e">
        <f>Q103/Q113</f>
        <v>#REF!</v>
      </c>
      <c r="S103" s="7" t="e">
        <f>COUNTIFS(#REF!,"*British Citizen",#REF!,"người bệnh mới")+COUNTIFS(#REF!,"*Anh",#REF!,"người bệnh mới")</f>
        <v>#REF!</v>
      </c>
      <c r="T103" s="23" t="e">
        <f>S103/S113</f>
        <v>#REF!</v>
      </c>
      <c r="U103" s="8"/>
      <c r="V103" s="8"/>
      <c r="W103" s="8"/>
      <c r="X103" s="8"/>
    </row>
    <row r="104" spans="1:24" ht="24" customHeight="1" x14ac:dyDescent="0.25">
      <c r="A104" s="110" t="s">
        <v>201</v>
      </c>
      <c r="B104" s="76"/>
      <c r="C104" s="76"/>
      <c r="D104" s="76"/>
      <c r="E104" s="7">
        <v>8</v>
      </c>
      <c r="F104" s="23">
        <v>1.646090534979424E-2</v>
      </c>
      <c r="G104" s="7">
        <v>10</v>
      </c>
      <c r="H104" s="23">
        <v>1.4450867052023121E-2</v>
      </c>
      <c r="I104" s="7">
        <v>17</v>
      </c>
      <c r="J104" s="23">
        <v>1.7689906347554629E-2</v>
      </c>
      <c r="K104" s="7">
        <v>23</v>
      </c>
      <c r="L104" s="23">
        <v>1.123046875E-2</v>
      </c>
      <c r="M104" s="7" t="e">
        <f>COUNTIFS(#REF!,"*america",#REF!,"người bệnh mới")+COUNTIFS(#REF!,"*USA",#REF!,"người bệnh mới")+COUNTIFS(#REF!,"*Mỹ",#REF!,"người bệnh mới")+COUNTIFS(#REF!,"*UNITED STATES",#REF!,"người bệnh mới")</f>
        <v>#REF!</v>
      </c>
      <c r="N104" s="23" t="e">
        <f>M104/M113</f>
        <v>#REF!</v>
      </c>
      <c r="O104" s="7" t="e">
        <f>COUNTIFS(#REF!,"*america",#REF!,"người bệnh mới")+COUNTIFS(#REF!,"*USA",#REF!,"người bệnh mới")+COUNTIFS(#REF!,"*Mỹ",#REF!,"người bệnh mới")+COUNTIFS(#REF!,"*UNITED STATES",#REF!,"người bệnh mới")</f>
        <v>#REF!</v>
      </c>
      <c r="P104" s="23" t="e">
        <f>O104/O113</f>
        <v>#REF!</v>
      </c>
      <c r="Q104" s="7" t="e">
        <f>COUNTIFS(#REF!,"*america",#REF!,"người bệnh mới")+COUNTIFS(#REF!,"*USA",#REF!,"người bệnh mới")+COUNTIFS(#REF!,"*Mỹ",#REF!,"người bệnh mới")+COUNTIFS(#REF!,"*UNITED STATES",#REF!,"người bệnh mới")</f>
        <v>#REF!</v>
      </c>
      <c r="R104" s="23" t="e">
        <f>Q104/Q113</f>
        <v>#REF!</v>
      </c>
      <c r="S104" s="7" t="e">
        <f>COUNTIFS(#REF!,"*america",#REF!,"người bệnh mới")+COUNTIFS(#REF!,"*USA",#REF!,"người bệnh mới")+COUNTIFS(#REF!,"*Mỹ",#REF!,"người bệnh mới")+COUNTIFS(#REF!,"*UNITED STATES",#REF!,"người bệnh mới")</f>
        <v>#REF!</v>
      </c>
      <c r="T104" s="23" t="e">
        <f>S104/S113</f>
        <v>#REF!</v>
      </c>
      <c r="U104" s="8"/>
      <c r="V104" s="8"/>
      <c r="W104" s="8"/>
      <c r="X104" s="8"/>
    </row>
    <row r="105" spans="1:24" ht="24" customHeight="1" x14ac:dyDescent="0.25">
      <c r="A105" s="110" t="s">
        <v>202</v>
      </c>
      <c r="B105" s="76"/>
      <c r="C105" s="76"/>
      <c r="D105" s="76"/>
      <c r="E105" s="7">
        <v>1</v>
      </c>
      <c r="F105" s="23">
        <v>2.05761316872428E-3</v>
      </c>
      <c r="G105" s="7">
        <v>1</v>
      </c>
      <c r="H105" s="23">
        <v>1.4450867052023121E-3</v>
      </c>
      <c r="I105" s="7">
        <v>0</v>
      </c>
      <c r="J105" s="23">
        <v>0</v>
      </c>
      <c r="K105" s="7">
        <v>0</v>
      </c>
      <c r="L105" s="23">
        <v>0</v>
      </c>
      <c r="M105" s="7" t="e">
        <f>COUNTIFS(#REF!,"*korea",#REF!,"người bệnh mới")+COUNTIFS(#REF!,"*hàn quốc",#REF!,"người bệnh mới")</f>
        <v>#REF!</v>
      </c>
      <c r="N105" s="23" t="e">
        <f>M105/M113</f>
        <v>#REF!</v>
      </c>
      <c r="O105" s="7" t="e">
        <f>COUNTIFS(#REF!,"*korea",#REF!,"người bệnh mới")+COUNTIFS(#REF!,"*hàn quốc",#REF!,"người bệnh mới")</f>
        <v>#REF!</v>
      </c>
      <c r="P105" s="23" t="e">
        <f>O105/O113</f>
        <v>#REF!</v>
      </c>
      <c r="Q105" s="7" t="e">
        <f>COUNTIFS(#REF!,"*korea",#REF!,"người bệnh mới")+COUNTIFS(#REF!,"*hàn quốc",#REF!,"người bệnh mới")</f>
        <v>#REF!</v>
      </c>
      <c r="R105" s="23" t="e">
        <f>Q105/Q113</f>
        <v>#REF!</v>
      </c>
      <c r="S105" s="7" t="e">
        <f>COUNTIFS(#REF!,"*korea",#REF!,"người bệnh mới")+COUNTIFS(#REF!,"*hàn quốc",#REF!,"người bệnh mới")</f>
        <v>#REF!</v>
      </c>
      <c r="T105" s="23" t="e">
        <f>S105/S113</f>
        <v>#REF!</v>
      </c>
      <c r="U105" s="8"/>
      <c r="V105" s="8"/>
      <c r="W105" s="8"/>
      <c r="X105" s="8"/>
    </row>
    <row r="106" spans="1:24" ht="24" customHeight="1" x14ac:dyDescent="0.25">
      <c r="A106" s="110" t="s">
        <v>203</v>
      </c>
      <c r="B106" s="76"/>
      <c r="C106" s="76"/>
      <c r="D106" s="76"/>
      <c r="E106" s="7">
        <v>0</v>
      </c>
      <c r="F106" s="23">
        <v>0</v>
      </c>
      <c r="G106" s="7">
        <v>0</v>
      </c>
      <c r="H106" s="23">
        <v>0</v>
      </c>
      <c r="I106" s="7">
        <v>0</v>
      </c>
      <c r="J106" s="23">
        <v>0</v>
      </c>
      <c r="K106" s="7">
        <v>0</v>
      </c>
      <c r="L106" s="23">
        <v>0</v>
      </c>
      <c r="M106" s="7" t="e">
        <f>COUNTIFS(#REF!,"*australia",#REF!,"người bệnh mới")</f>
        <v>#REF!</v>
      </c>
      <c r="N106" s="23" t="e">
        <f>M106/M113</f>
        <v>#REF!</v>
      </c>
      <c r="O106" s="7" t="e">
        <f>COUNTIFS(#REF!,"*australia",#REF!,"người bệnh mới")</f>
        <v>#REF!</v>
      </c>
      <c r="P106" s="23" t="e">
        <f>O106/O113</f>
        <v>#REF!</v>
      </c>
      <c r="Q106" s="7" t="e">
        <f>COUNTIFS(#REF!,"*australia",#REF!,"người bệnh mới")</f>
        <v>#REF!</v>
      </c>
      <c r="R106" s="23" t="e">
        <f>Q106/Q113</f>
        <v>#REF!</v>
      </c>
      <c r="S106" s="7" t="e">
        <f>COUNTIFS(#REF!,"*australia",#REF!,"người bệnh mới")</f>
        <v>#REF!</v>
      </c>
      <c r="T106" s="23" t="e">
        <f>S106/S113</f>
        <v>#REF!</v>
      </c>
      <c r="U106" s="8"/>
      <c r="V106" s="8"/>
      <c r="W106" s="8"/>
      <c r="X106" s="8"/>
    </row>
    <row r="107" spans="1:24" ht="24" customHeight="1" x14ac:dyDescent="0.25">
      <c r="A107" s="110" t="s">
        <v>204</v>
      </c>
      <c r="B107" s="76"/>
      <c r="C107" s="76"/>
      <c r="D107" s="76"/>
      <c r="E107" s="7">
        <v>0</v>
      </c>
      <c r="F107" s="23">
        <v>0</v>
      </c>
      <c r="G107" s="7">
        <v>0</v>
      </c>
      <c r="H107" s="23">
        <v>0</v>
      </c>
      <c r="I107" s="7">
        <v>0</v>
      </c>
      <c r="J107" s="23">
        <v>0</v>
      </c>
      <c r="K107" s="7">
        <v>0</v>
      </c>
      <c r="L107" s="23">
        <v>0</v>
      </c>
      <c r="M107" s="7" t="e">
        <f>COUNTIFS(#REF!,"*Camerounaise",#REF!,"người bệnh mới")</f>
        <v>#REF!</v>
      </c>
      <c r="N107" s="23" t="e">
        <f>M107/M113</f>
        <v>#REF!</v>
      </c>
      <c r="O107" s="7" t="e">
        <f>COUNTIFS(#REF!,"*Camerounaise",#REF!,"người bệnh mới")</f>
        <v>#REF!</v>
      </c>
      <c r="P107" s="23" t="e">
        <f>O107/O113</f>
        <v>#REF!</v>
      </c>
      <c r="Q107" s="7" t="e">
        <f>COUNTIFS(#REF!,"*Camerounaise",#REF!,"người bệnh mới")</f>
        <v>#REF!</v>
      </c>
      <c r="R107" s="23" t="e">
        <f>Q107/Q113</f>
        <v>#REF!</v>
      </c>
      <c r="S107" s="7" t="e">
        <f>COUNTIFS(#REF!,"*Camerounaise",#REF!,"người bệnh mới")</f>
        <v>#REF!</v>
      </c>
      <c r="T107" s="23" t="e">
        <f>S107/S113</f>
        <v>#REF!</v>
      </c>
      <c r="U107" s="8"/>
      <c r="V107" s="8"/>
      <c r="W107" s="8"/>
      <c r="X107" s="8"/>
    </row>
    <row r="108" spans="1:24" ht="24" customHeight="1" x14ac:dyDescent="0.25">
      <c r="A108" s="110" t="s">
        <v>205</v>
      </c>
      <c r="B108" s="76"/>
      <c r="C108" s="76"/>
      <c r="D108" s="76"/>
      <c r="E108" s="7">
        <v>1</v>
      </c>
      <c r="F108" s="23">
        <v>2.05761316872428E-3</v>
      </c>
      <c r="G108" s="7">
        <v>3</v>
      </c>
      <c r="H108" s="23">
        <v>4.335260115606936E-3</v>
      </c>
      <c r="I108" s="7">
        <v>0</v>
      </c>
      <c r="J108" s="23">
        <v>0</v>
      </c>
      <c r="K108" s="7">
        <v>7</v>
      </c>
      <c r="L108" s="23">
        <v>3.41796875E-3</v>
      </c>
      <c r="M108" s="7" t="e">
        <f>COUNTIFS(#REF!,"*trung quốc",#REF!,"người bệnh mới")+COUNTIFS(#REF!,"*china",#REF!,"người bệnh mới")+COUNTIFS(#REF!,"*chinese",#REF!,"người bệnh mới")</f>
        <v>#REF!</v>
      </c>
      <c r="N108" s="23" t="e">
        <f>M108/M113</f>
        <v>#REF!</v>
      </c>
      <c r="O108" s="7" t="e">
        <f>COUNTIFS(#REF!,"*trung quốc",#REF!,"người bệnh mới")+COUNTIFS(#REF!,"*china",#REF!,"người bệnh mới")+COUNTIFS(#REF!,"*chinese",#REF!,"người bệnh mới")</f>
        <v>#REF!</v>
      </c>
      <c r="P108" s="23" t="e">
        <f>O108/O113</f>
        <v>#REF!</v>
      </c>
      <c r="Q108" s="7" t="e">
        <f>COUNTIFS(#REF!,"*trung quốc",#REF!,"người bệnh mới")+COUNTIFS(#REF!,"*china",#REF!,"người bệnh mới")+COUNTIFS(#REF!,"*chinese",#REF!,"người bệnh mới")</f>
        <v>#REF!</v>
      </c>
      <c r="R108" s="23" t="e">
        <f>Q108/Q113</f>
        <v>#REF!</v>
      </c>
      <c r="S108" s="7" t="e">
        <f>COUNTIFS(#REF!,"*trung quốc",#REF!,"người bệnh mới")+COUNTIFS(#REF!,"*china",#REF!,"người bệnh mới")+COUNTIFS(#REF!,"*chinese",#REF!,"người bệnh mới")</f>
        <v>#REF!</v>
      </c>
      <c r="T108" s="23" t="e">
        <f>S108/S113</f>
        <v>#REF!</v>
      </c>
      <c r="U108" s="8"/>
      <c r="V108" s="8"/>
      <c r="W108" s="8"/>
      <c r="X108" s="8"/>
    </row>
    <row r="109" spans="1:24" ht="24" customHeight="1" x14ac:dyDescent="0.25">
      <c r="A109" s="110" t="s">
        <v>206</v>
      </c>
      <c r="B109" s="76"/>
      <c r="C109" s="76"/>
      <c r="D109" s="76"/>
      <c r="E109" s="7">
        <v>0</v>
      </c>
      <c r="F109" s="23">
        <v>0</v>
      </c>
      <c r="G109" s="7">
        <v>0</v>
      </c>
      <c r="H109" s="23">
        <v>0</v>
      </c>
      <c r="I109" s="7">
        <v>0</v>
      </c>
      <c r="J109" s="23">
        <v>0</v>
      </c>
      <c r="K109" s="7">
        <v>0</v>
      </c>
      <c r="L109" s="23">
        <v>0</v>
      </c>
      <c r="M109" s="7" t="e">
        <f>COUNTIFS(#REF!,"*France",#REF!,"người bệnh mới")+COUNTIFS(#REF!,"*Pháp",#REF!,"người bệnh mới")</f>
        <v>#REF!</v>
      </c>
      <c r="N109" s="23" t="e">
        <f>M109/M113</f>
        <v>#REF!</v>
      </c>
      <c r="O109" s="7" t="e">
        <f>COUNTIFS(#REF!,"*France",#REF!,"người bệnh mới")+COUNTIFS(#REF!,"*Pháp",#REF!,"người bệnh mới")</f>
        <v>#REF!</v>
      </c>
      <c r="P109" s="23" t="e">
        <f>O109/O113</f>
        <v>#REF!</v>
      </c>
      <c r="Q109" s="7" t="e">
        <f>COUNTIFS(#REF!,"*France",#REF!,"người bệnh mới")+COUNTIFS(#REF!,"*Pháp",#REF!,"người bệnh mới")</f>
        <v>#REF!</v>
      </c>
      <c r="R109" s="23" t="e">
        <f>Q109/Q113</f>
        <v>#REF!</v>
      </c>
      <c r="S109" s="7" t="e">
        <f>COUNTIFS(#REF!,"*France",#REF!,"người bệnh mới")+COUNTIFS(#REF!,"*Pháp",#REF!,"người bệnh mới")</f>
        <v>#REF!</v>
      </c>
      <c r="T109" s="23" t="e">
        <f>S109/S113</f>
        <v>#REF!</v>
      </c>
      <c r="U109" s="8"/>
      <c r="V109" s="8"/>
      <c r="W109" s="8"/>
      <c r="X109" s="8"/>
    </row>
    <row r="110" spans="1:24" ht="24" customHeight="1" x14ac:dyDescent="0.25">
      <c r="A110" s="110" t="s">
        <v>207</v>
      </c>
      <c r="B110" s="76"/>
      <c r="C110" s="76"/>
      <c r="D110" s="76"/>
      <c r="E110" s="7">
        <v>0</v>
      </c>
      <c r="F110" s="23">
        <v>0</v>
      </c>
      <c r="G110" s="7">
        <v>0</v>
      </c>
      <c r="H110" s="23">
        <v>0</v>
      </c>
      <c r="I110" s="7">
        <v>0</v>
      </c>
      <c r="J110" s="23">
        <v>0</v>
      </c>
      <c r="K110" s="7">
        <v>0</v>
      </c>
      <c r="L110" s="23">
        <v>0</v>
      </c>
      <c r="M110" s="7" t="e">
        <f>COUNTIFS(#REF!,"*Nga",#REF!,"người bệnh mới")</f>
        <v>#REF!</v>
      </c>
      <c r="N110" s="23" t="e">
        <f>M110/M113</f>
        <v>#REF!</v>
      </c>
      <c r="O110" s="7" t="e">
        <f>COUNTIFS(#REF!,"*Nga",#REF!,"người bệnh mới")</f>
        <v>#REF!</v>
      </c>
      <c r="P110" s="23" t="e">
        <f>O110/O113</f>
        <v>#REF!</v>
      </c>
      <c r="Q110" s="7" t="e">
        <f>COUNTIFS(#REF!,"*Nga",#REF!,"người bệnh mới")</f>
        <v>#REF!</v>
      </c>
      <c r="R110" s="23" t="e">
        <f>Q110/Q113</f>
        <v>#REF!</v>
      </c>
      <c r="S110" s="7" t="e">
        <f>COUNTIFS(#REF!,"*Nga",#REF!,"người bệnh mới")</f>
        <v>#REF!</v>
      </c>
      <c r="T110" s="23" t="e">
        <f>S110/S113</f>
        <v>#REF!</v>
      </c>
      <c r="U110" s="8"/>
      <c r="V110" s="8"/>
      <c r="W110" s="8"/>
      <c r="X110" s="8"/>
    </row>
    <row r="111" spans="1:24" ht="24" customHeight="1" x14ac:dyDescent="0.25">
      <c r="A111" s="110" t="s">
        <v>208</v>
      </c>
      <c r="B111" s="76"/>
      <c r="C111" s="76"/>
      <c r="D111" s="76"/>
      <c r="E111" s="7">
        <v>0</v>
      </c>
      <c r="F111" s="23">
        <v>0</v>
      </c>
      <c r="G111" s="7">
        <v>0</v>
      </c>
      <c r="H111" s="23">
        <v>0</v>
      </c>
      <c r="I111" s="7">
        <v>0</v>
      </c>
      <c r="J111" s="23">
        <v>0</v>
      </c>
      <c r="K111" s="7">
        <v>0</v>
      </c>
      <c r="L111" s="23">
        <v>0</v>
      </c>
      <c r="M111" s="7" t="e">
        <f>COUNTIFS(#REF!,"*Na Uy",#REF!,"người bệnh mới")</f>
        <v>#REF!</v>
      </c>
      <c r="N111" s="23" t="e">
        <f>M111/M113</f>
        <v>#REF!</v>
      </c>
      <c r="O111" s="7" t="e">
        <f>COUNTIFS(#REF!,"*Na Uy",#REF!,"người bệnh mới")</f>
        <v>#REF!</v>
      </c>
      <c r="P111" s="23" t="e">
        <f>O111/O113</f>
        <v>#REF!</v>
      </c>
      <c r="Q111" s="7" t="e">
        <f>COUNTIFS(#REF!,"*Na Uy",#REF!,"người bệnh mới")</f>
        <v>#REF!</v>
      </c>
      <c r="R111" s="23" t="e">
        <f>Q111/Q113</f>
        <v>#REF!</v>
      </c>
      <c r="S111" s="7" t="e">
        <f>COUNTIFS(#REF!,"*Na Uy",#REF!,"người bệnh mới")</f>
        <v>#REF!</v>
      </c>
      <c r="T111" s="23" t="e">
        <f>S111/S113</f>
        <v>#REF!</v>
      </c>
      <c r="U111" s="8"/>
      <c r="V111" s="8"/>
      <c r="W111" s="8"/>
      <c r="X111" s="8"/>
    </row>
    <row r="112" spans="1:24" ht="24" customHeight="1" x14ac:dyDescent="0.25">
      <c r="A112" s="110" t="s">
        <v>209</v>
      </c>
      <c r="B112" s="76"/>
      <c r="C112" s="76"/>
      <c r="D112" s="76"/>
      <c r="E112" s="7">
        <v>0</v>
      </c>
      <c r="F112" s="23">
        <v>0</v>
      </c>
      <c r="G112" s="7">
        <v>0</v>
      </c>
      <c r="H112" s="23">
        <v>0</v>
      </c>
      <c r="I112" s="7">
        <v>0</v>
      </c>
      <c r="J112" s="23">
        <v>0</v>
      </c>
      <c r="K112" s="7">
        <v>0</v>
      </c>
      <c r="L112" s="23">
        <v>0</v>
      </c>
      <c r="M112" s="7" t="e">
        <f>COUNTIFS(#REF!,"*GUINÉENNE",#REF!,"người bệnh mới")</f>
        <v>#REF!</v>
      </c>
      <c r="N112" s="23" t="e">
        <f>M112/M113</f>
        <v>#REF!</v>
      </c>
      <c r="O112" s="7" t="e">
        <f>COUNTIFS(#REF!,"*GUINÉENNE",#REF!,"người bệnh mới")</f>
        <v>#REF!</v>
      </c>
      <c r="P112" s="23" t="e">
        <f>O112/O113</f>
        <v>#REF!</v>
      </c>
      <c r="Q112" s="7" t="e">
        <f>COUNTIFS(#REF!,"*GUINÉENNE",#REF!,"người bệnh mới")</f>
        <v>#REF!</v>
      </c>
      <c r="R112" s="23" t="e">
        <f>Q112/Q113</f>
        <v>#REF!</v>
      </c>
      <c r="S112" s="7" t="e">
        <f>COUNTIFS(#REF!,"*GUINÉENNE",#REF!,"người bệnh mới")</f>
        <v>#REF!</v>
      </c>
      <c r="T112" s="23" t="e">
        <f>S112/S113</f>
        <v>#REF!</v>
      </c>
      <c r="U112" s="8"/>
      <c r="V112" s="8"/>
      <c r="W112" s="8"/>
      <c r="X112" s="8"/>
    </row>
    <row r="113" spans="1:24" ht="24" customHeight="1" x14ac:dyDescent="0.25">
      <c r="A113" s="112" t="s">
        <v>133</v>
      </c>
      <c r="B113" s="94"/>
      <c r="C113" s="94"/>
      <c r="D113" s="94"/>
      <c r="E113" s="24">
        <v>486</v>
      </c>
      <c r="F113" s="25">
        <v>1</v>
      </c>
      <c r="G113" s="24">
        <v>692</v>
      </c>
      <c r="H113" s="25">
        <v>1</v>
      </c>
      <c r="I113" s="24">
        <v>961</v>
      </c>
      <c r="J113" s="25">
        <v>1</v>
      </c>
      <c r="K113" s="24">
        <v>2048</v>
      </c>
      <c r="L113" s="25">
        <v>1</v>
      </c>
      <c r="M113" s="24" t="e">
        <f>M95+M75++M89+M60+M46+M39</f>
        <v>#REF!</v>
      </c>
      <c r="N113" s="25">
        <v>1</v>
      </c>
      <c r="O113" s="24" t="e">
        <f>O95+O75++O89+O60+O46+O39</f>
        <v>#REF!</v>
      </c>
      <c r="P113" s="25">
        <v>1</v>
      </c>
      <c r="Q113" s="24" t="e">
        <f>Q95+Q75++Q89+Q60+Q46+Q39</f>
        <v>#REF!</v>
      </c>
      <c r="R113" s="25">
        <v>1</v>
      </c>
      <c r="S113" s="24" t="e">
        <f>S95+S75++S89+S60+S46+S39</f>
        <v>#REF!</v>
      </c>
      <c r="T113" s="25">
        <v>1</v>
      </c>
      <c r="U113" s="8"/>
      <c r="V113" s="8"/>
      <c r="W113" s="8"/>
      <c r="X113" s="8"/>
    </row>
    <row r="114" spans="1:24" ht="24" customHeight="1" x14ac:dyDescent="0.25">
      <c r="A114" s="3"/>
      <c r="B114" s="8"/>
      <c r="C114" s="8"/>
      <c r="D114" s="8"/>
      <c r="E114" s="4"/>
      <c r="F114" s="4"/>
      <c r="G114" s="10"/>
      <c r="H114" s="10"/>
      <c r="I114" s="4"/>
      <c r="J114" s="10"/>
      <c r="K114" s="10"/>
      <c r="L114" s="10"/>
      <c r="M114" s="10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24" customHeight="1" x14ac:dyDescent="0.25">
      <c r="A115" s="3"/>
      <c r="B115" s="8"/>
      <c r="C115" s="8"/>
      <c r="D115" s="8"/>
      <c r="E115" s="3"/>
      <c r="F115" s="3"/>
      <c r="G115" s="8"/>
      <c r="H115" s="31" t="s">
        <v>210</v>
      </c>
      <c r="I115" s="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24" customHeight="1" x14ac:dyDescent="0.25">
      <c r="A116" s="3"/>
      <c r="B116" s="8"/>
      <c r="C116" s="6" t="s">
        <v>211</v>
      </c>
      <c r="D116" s="8"/>
      <c r="E116" s="3"/>
      <c r="F116" s="3"/>
      <c r="G116" s="8"/>
      <c r="H116" s="5" t="s">
        <v>212</v>
      </c>
      <c r="I116" s="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24" customHeight="1" x14ac:dyDescent="0.25">
      <c r="A117" s="3"/>
      <c r="B117" s="8"/>
      <c r="C117" s="8"/>
      <c r="D117" s="8"/>
      <c r="E117" s="3"/>
      <c r="F117" s="3"/>
      <c r="G117" s="8"/>
      <c r="H117" s="10"/>
      <c r="I117" s="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24" customHeight="1" x14ac:dyDescent="0.25">
      <c r="A118" s="3"/>
      <c r="B118" s="8"/>
      <c r="C118" s="8"/>
      <c r="D118" s="8"/>
      <c r="E118" s="3"/>
      <c r="F118" s="3"/>
      <c r="G118" s="8"/>
      <c r="H118" s="10"/>
      <c r="I118" s="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24" customHeight="1" x14ac:dyDescent="0.25">
      <c r="A119" s="3"/>
      <c r="B119" s="8"/>
      <c r="C119" s="8"/>
      <c r="D119" s="8"/>
      <c r="E119" s="3"/>
      <c r="F119" s="3"/>
      <c r="G119" s="8"/>
      <c r="H119" s="10"/>
      <c r="I119" s="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24" customHeight="1" x14ac:dyDescent="0.25">
      <c r="A120" s="3"/>
      <c r="B120" s="8"/>
      <c r="C120" s="8"/>
      <c r="D120" s="8"/>
      <c r="E120" s="3"/>
      <c r="F120" s="3"/>
      <c r="G120" s="8"/>
      <c r="H120" s="10"/>
      <c r="I120" s="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24" customHeight="1" x14ac:dyDescent="0.25">
      <c r="A121" s="3"/>
      <c r="B121" s="8"/>
      <c r="C121" s="8"/>
      <c r="D121" s="8"/>
      <c r="E121" s="3"/>
      <c r="F121" s="3"/>
      <c r="G121" s="32"/>
      <c r="H121" s="32"/>
      <c r="I121" s="3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24" customHeight="1" x14ac:dyDescent="0.25">
      <c r="A122" s="3"/>
      <c r="B122" s="8"/>
      <c r="C122" s="6" t="s">
        <v>213</v>
      </c>
      <c r="D122" s="8"/>
      <c r="E122" s="3"/>
      <c r="F122" s="3"/>
      <c r="G122" s="8"/>
      <c r="H122" s="5" t="s">
        <v>214</v>
      </c>
      <c r="I122" s="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24" customHeight="1" x14ac:dyDescent="0.25">
      <c r="A123" s="3"/>
      <c r="B123" s="8"/>
      <c r="C123" s="8"/>
      <c r="D123" s="8"/>
      <c r="E123" s="3"/>
      <c r="F123" s="3"/>
      <c r="G123" s="8"/>
      <c r="H123" s="8"/>
      <c r="I123" s="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24" customHeight="1" x14ac:dyDescent="0.25">
      <c r="A124" s="3"/>
      <c r="B124" s="8"/>
      <c r="C124" s="8"/>
      <c r="D124" s="8"/>
      <c r="E124" s="3"/>
      <c r="F124" s="3"/>
      <c r="G124" s="8"/>
      <c r="H124" s="8"/>
      <c r="I124" s="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24" customHeight="1" x14ac:dyDescent="0.25">
      <c r="A125" s="3"/>
      <c r="B125" s="8"/>
      <c r="C125" s="8"/>
      <c r="D125" s="8"/>
      <c r="E125" s="3"/>
      <c r="F125" s="3"/>
      <c r="G125" s="8"/>
      <c r="H125" s="8"/>
      <c r="I125" s="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24" customHeight="1" x14ac:dyDescent="0.25">
      <c r="A126" s="3"/>
      <c r="B126" s="8"/>
      <c r="C126" s="8"/>
      <c r="D126" s="8"/>
      <c r="E126" s="3"/>
      <c r="F126" s="3"/>
      <c r="G126" s="8"/>
      <c r="H126" s="8"/>
      <c r="I126" s="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24" customHeight="1" x14ac:dyDescent="0.25">
      <c r="A127" s="3"/>
      <c r="B127" s="8"/>
      <c r="C127" s="8"/>
      <c r="D127" s="8"/>
      <c r="E127" s="3"/>
      <c r="F127" s="3"/>
      <c r="G127" s="8"/>
      <c r="H127" s="8"/>
      <c r="I127" s="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24" customHeight="1" x14ac:dyDescent="0.25">
      <c r="A128" s="3"/>
      <c r="B128" s="8"/>
      <c r="C128" s="8"/>
      <c r="D128" s="8"/>
      <c r="E128" s="3"/>
      <c r="F128" s="3"/>
      <c r="G128" s="8"/>
      <c r="H128" s="8"/>
      <c r="I128" s="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24" customHeight="1" x14ac:dyDescent="0.25">
      <c r="A129" s="3"/>
      <c r="B129" s="8"/>
      <c r="C129" s="8"/>
      <c r="D129" s="8"/>
      <c r="E129" s="3"/>
      <c r="F129" s="3"/>
      <c r="G129" s="8"/>
      <c r="H129" s="8"/>
      <c r="I129" s="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24" customHeight="1" x14ac:dyDescent="0.25">
      <c r="A130" s="3"/>
      <c r="B130" s="8"/>
      <c r="C130" s="8"/>
      <c r="D130" s="8"/>
      <c r="E130" s="3"/>
      <c r="F130" s="3"/>
      <c r="G130" s="8"/>
      <c r="H130" s="8"/>
      <c r="I130" s="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24" customHeight="1" x14ac:dyDescent="0.25">
      <c r="A131" s="3"/>
      <c r="B131" s="8"/>
      <c r="C131" s="8"/>
      <c r="D131" s="8"/>
      <c r="E131" s="3"/>
      <c r="F131" s="3"/>
      <c r="G131" s="8"/>
      <c r="H131" s="8"/>
      <c r="I131" s="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24" customHeight="1" x14ac:dyDescent="0.25">
      <c r="A132" s="3"/>
      <c r="B132" s="8"/>
      <c r="C132" s="8"/>
      <c r="D132" s="8"/>
      <c r="E132" s="3"/>
      <c r="F132" s="3"/>
      <c r="G132" s="8"/>
      <c r="H132" s="8"/>
      <c r="I132" s="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24" customHeight="1" x14ac:dyDescent="0.25">
      <c r="A133" s="3"/>
      <c r="B133" s="8"/>
      <c r="C133" s="8"/>
      <c r="D133" s="8"/>
      <c r="E133" s="3"/>
      <c r="F133" s="3"/>
      <c r="G133" s="8"/>
      <c r="H133" s="8"/>
      <c r="I133" s="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24" customHeight="1" x14ac:dyDescent="0.25">
      <c r="A134" s="3"/>
      <c r="B134" s="8"/>
      <c r="C134" s="8"/>
      <c r="D134" s="8"/>
      <c r="E134" s="3"/>
      <c r="F134" s="3"/>
      <c r="G134" s="8"/>
      <c r="H134" s="8"/>
      <c r="I134" s="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24" customHeight="1" x14ac:dyDescent="0.25">
      <c r="A135" s="3"/>
      <c r="B135" s="8"/>
      <c r="C135" s="8"/>
      <c r="D135" s="8"/>
      <c r="E135" s="3"/>
      <c r="F135" s="3"/>
      <c r="G135" s="8"/>
      <c r="H135" s="8"/>
      <c r="I135" s="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24" customHeight="1" x14ac:dyDescent="0.25">
      <c r="A136" s="3"/>
      <c r="B136" s="8"/>
      <c r="C136" s="8"/>
      <c r="D136" s="8"/>
      <c r="E136" s="3"/>
      <c r="F136" s="3"/>
      <c r="G136" s="8"/>
      <c r="H136" s="8"/>
      <c r="I136" s="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24" customHeight="1" x14ac:dyDescent="0.25">
      <c r="A137" s="3"/>
      <c r="B137" s="8"/>
      <c r="C137" s="8"/>
      <c r="D137" s="8"/>
      <c r="E137" s="3"/>
      <c r="F137" s="3"/>
      <c r="G137" s="8"/>
      <c r="H137" s="8"/>
      <c r="I137" s="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24" customHeight="1" x14ac:dyDescent="0.25">
      <c r="A138" s="3"/>
      <c r="B138" s="8"/>
      <c r="C138" s="8"/>
      <c r="D138" s="8"/>
      <c r="E138" s="3"/>
      <c r="F138" s="3"/>
      <c r="G138" s="8"/>
      <c r="H138" s="8"/>
      <c r="I138" s="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24" customHeight="1" x14ac:dyDescent="0.25">
      <c r="A139" s="3"/>
      <c r="B139" s="8"/>
      <c r="C139" s="8"/>
      <c r="D139" s="8"/>
      <c r="E139" s="3"/>
      <c r="F139" s="3"/>
      <c r="G139" s="8"/>
      <c r="H139" s="8"/>
      <c r="I139" s="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24" customHeight="1" x14ac:dyDescent="0.25">
      <c r="A140" s="3"/>
      <c r="B140" s="8"/>
      <c r="C140" s="8"/>
      <c r="D140" s="8"/>
      <c r="E140" s="3"/>
      <c r="F140" s="3"/>
      <c r="G140" s="8"/>
      <c r="H140" s="8"/>
      <c r="I140" s="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24" customHeight="1" x14ac:dyDescent="0.25">
      <c r="A141" s="3"/>
      <c r="B141" s="8"/>
      <c r="C141" s="8"/>
      <c r="D141" s="8"/>
      <c r="E141" s="3"/>
      <c r="F141" s="3"/>
      <c r="G141" s="8"/>
      <c r="H141" s="8"/>
      <c r="I141" s="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24" customHeight="1" x14ac:dyDescent="0.25">
      <c r="A142" s="3"/>
      <c r="B142" s="8"/>
      <c r="C142" s="8"/>
      <c r="D142" s="8"/>
      <c r="E142" s="3"/>
      <c r="F142" s="3"/>
      <c r="G142" s="8"/>
      <c r="H142" s="8"/>
      <c r="I142" s="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24" customHeight="1" x14ac:dyDescent="0.25">
      <c r="A143" s="3"/>
      <c r="B143" s="8"/>
      <c r="C143" s="8"/>
      <c r="D143" s="8"/>
      <c r="E143" s="3"/>
      <c r="F143" s="3"/>
      <c r="G143" s="8"/>
      <c r="H143" s="8"/>
      <c r="I143" s="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24" customHeight="1" x14ac:dyDescent="0.25">
      <c r="A144" s="3"/>
      <c r="B144" s="8"/>
      <c r="C144" s="8"/>
      <c r="D144" s="8"/>
      <c r="E144" s="3"/>
      <c r="F144" s="3"/>
      <c r="G144" s="8"/>
      <c r="H144" s="8"/>
      <c r="I144" s="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24" customHeight="1" x14ac:dyDescent="0.25">
      <c r="A145" s="3"/>
      <c r="B145" s="8"/>
      <c r="C145" s="8"/>
      <c r="D145" s="8"/>
      <c r="E145" s="3"/>
      <c r="F145" s="3"/>
      <c r="G145" s="8"/>
      <c r="H145" s="8"/>
      <c r="I145" s="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24" customHeight="1" x14ac:dyDescent="0.25">
      <c r="A146" s="3"/>
      <c r="B146" s="8"/>
      <c r="C146" s="8"/>
      <c r="D146" s="8"/>
      <c r="E146" s="3"/>
      <c r="F146" s="3"/>
      <c r="G146" s="8"/>
      <c r="H146" s="8"/>
      <c r="I146" s="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24" customHeight="1" x14ac:dyDescent="0.25">
      <c r="A147" s="3"/>
      <c r="B147" s="8"/>
      <c r="C147" s="8"/>
      <c r="D147" s="8"/>
      <c r="E147" s="3"/>
      <c r="F147" s="3"/>
      <c r="G147" s="8"/>
      <c r="H147" s="8"/>
      <c r="I147" s="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24" customHeight="1" x14ac:dyDescent="0.25">
      <c r="A148" s="3"/>
      <c r="B148" s="8"/>
      <c r="C148" s="8"/>
      <c r="D148" s="8"/>
      <c r="E148" s="3"/>
      <c r="F148" s="3"/>
      <c r="G148" s="8"/>
      <c r="H148" s="8"/>
      <c r="I148" s="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24" customHeight="1" x14ac:dyDescent="0.25">
      <c r="A149" s="3"/>
      <c r="B149" s="8"/>
      <c r="C149" s="8"/>
      <c r="D149" s="8"/>
      <c r="E149" s="3"/>
      <c r="F149" s="3"/>
      <c r="G149" s="8"/>
      <c r="H149" s="8"/>
      <c r="I149" s="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24" customHeight="1" x14ac:dyDescent="0.25">
      <c r="A150" s="3"/>
      <c r="B150" s="8"/>
      <c r="C150" s="8"/>
      <c r="D150" s="8"/>
      <c r="E150" s="3"/>
      <c r="F150" s="3"/>
      <c r="G150" s="8"/>
      <c r="H150" s="8"/>
      <c r="I150" s="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24" customHeight="1" x14ac:dyDescent="0.25">
      <c r="A151" s="3"/>
      <c r="B151" s="8"/>
      <c r="C151" s="8"/>
      <c r="D151" s="8"/>
      <c r="E151" s="3"/>
      <c r="F151" s="3"/>
      <c r="G151" s="8"/>
      <c r="H151" s="8"/>
      <c r="I151" s="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24" customHeight="1" x14ac:dyDescent="0.25">
      <c r="A152" s="3"/>
      <c r="B152" s="8"/>
      <c r="C152" s="8"/>
      <c r="D152" s="8"/>
      <c r="E152" s="3"/>
      <c r="F152" s="3"/>
      <c r="G152" s="8"/>
      <c r="H152" s="8"/>
      <c r="I152" s="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24" customHeight="1" x14ac:dyDescent="0.25">
      <c r="A153" s="3"/>
      <c r="B153" s="8"/>
      <c r="C153" s="8"/>
      <c r="D153" s="8"/>
      <c r="E153" s="3"/>
      <c r="F153" s="3"/>
      <c r="G153" s="8"/>
      <c r="H153" s="8"/>
      <c r="I153" s="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24" customHeight="1" x14ac:dyDescent="0.25">
      <c r="A154" s="3"/>
      <c r="B154" s="8"/>
      <c r="C154" s="8"/>
      <c r="D154" s="8"/>
      <c r="E154" s="3"/>
      <c r="F154" s="3"/>
      <c r="G154" s="8"/>
      <c r="H154" s="8"/>
      <c r="I154" s="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24" customHeight="1" x14ac:dyDescent="0.25">
      <c r="A155" s="3"/>
      <c r="B155" s="8"/>
      <c r="C155" s="8"/>
      <c r="D155" s="8"/>
      <c r="E155" s="3"/>
      <c r="F155" s="3"/>
      <c r="G155" s="8"/>
      <c r="H155" s="8"/>
      <c r="I155" s="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24" customHeight="1" x14ac:dyDescent="0.25">
      <c r="A156" s="3"/>
      <c r="B156" s="8"/>
      <c r="C156" s="8"/>
      <c r="D156" s="8"/>
      <c r="E156" s="3"/>
      <c r="F156" s="3"/>
      <c r="G156" s="8"/>
      <c r="H156" s="8"/>
      <c r="I156" s="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24" customHeight="1" x14ac:dyDescent="0.25">
      <c r="A157" s="3"/>
      <c r="B157" s="8"/>
      <c r="C157" s="8"/>
      <c r="D157" s="8"/>
      <c r="E157" s="3"/>
      <c r="F157" s="3"/>
      <c r="G157" s="8"/>
      <c r="H157" s="8"/>
      <c r="I157" s="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24" customHeight="1" x14ac:dyDescent="0.25">
      <c r="A158" s="3"/>
      <c r="B158" s="8"/>
      <c r="C158" s="8"/>
      <c r="D158" s="8"/>
      <c r="E158" s="3"/>
      <c r="F158" s="3"/>
      <c r="G158" s="8"/>
      <c r="H158" s="8"/>
      <c r="I158" s="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24" customHeight="1" x14ac:dyDescent="0.25">
      <c r="A159" s="3"/>
      <c r="B159" s="8"/>
      <c r="C159" s="8"/>
      <c r="D159" s="8"/>
      <c r="E159" s="3"/>
      <c r="F159" s="3"/>
      <c r="G159" s="8"/>
      <c r="H159" s="8"/>
      <c r="I159" s="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24" customHeight="1" x14ac:dyDescent="0.25">
      <c r="A160" s="3"/>
      <c r="B160" s="8"/>
      <c r="C160" s="8"/>
      <c r="D160" s="8"/>
      <c r="E160" s="3"/>
      <c r="F160" s="3"/>
      <c r="G160" s="8"/>
      <c r="H160" s="8"/>
      <c r="I160" s="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24" customHeight="1" x14ac:dyDescent="0.25">
      <c r="A161" s="3"/>
      <c r="B161" s="8"/>
      <c r="C161" s="8"/>
      <c r="D161" s="8"/>
      <c r="E161" s="3"/>
      <c r="F161" s="3"/>
      <c r="G161" s="8"/>
      <c r="H161" s="8"/>
      <c r="I161" s="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24" customHeight="1" x14ac:dyDescent="0.25">
      <c r="A162" s="3"/>
      <c r="B162" s="8"/>
      <c r="C162" s="8"/>
      <c r="D162" s="8"/>
      <c r="E162" s="3"/>
      <c r="F162" s="3"/>
      <c r="G162" s="8"/>
      <c r="H162" s="8"/>
      <c r="I162" s="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24" customHeight="1" x14ac:dyDescent="0.25">
      <c r="A163" s="3"/>
      <c r="B163" s="8"/>
      <c r="C163" s="8"/>
      <c r="D163" s="8"/>
      <c r="E163" s="3"/>
      <c r="F163" s="3"/>
      <c r="G163" s="8"/>
      <c r="H163" s="8"/>
      <c r="I163" s="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24" customHeight="1" x14ac:dyDescent="0.25">
      <c r="A164" s="3"/>
      <c r="B164" s="8"/>
      <c r="C164" s="8"/>
      <c r="D164" s="8"/>
      <c r="E164" s="3"/>
      <c r="F164" s="3"/>
      <c r="G164" s="8"/>
      <c r="H164" s="8"/>
      <c r="I164" s="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24" customHeight="1" x14ac:dyDescent="0.25">
      <c r="A165" s="3"/>
      <c r="B165" s="8"/>
      <c r="C165" s="8"/>
      <c r="D165" s="8"/>
      <c r="E165" s="3"/>
      <c r="F165" s="3"/>
      <c r="G165" s="8"/>
      <c r="H165" s="8"/>
      <c r="I165" s="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24" customHeight="1" x14ac:dyDescent="0.25">
      <c r="A166" s="3"/>
      <c r="B166" s="8"/>
      <c r="C166" s="8"/>
      <c r="D166" s="8"/>
      <c r="E166" s="3"/>
      <c r="F166" s="3"/>
      <c r="G166" s="8"/>
      <c r="H166" s="8"/>
      <c r="I166" s="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24" customHeight="1" x14ac:dyDescent="0.25">
      <c r="A167" s="3"/>
      <c r="B167" s="8"/>
      <c r="C167" s="8"/>
      <c r="D167" s="8"/>
      <c r="E167" s="3"/>
      <c r="F167" s="3"/>
      <c r="G167" s="8"/>
      <c r="H167" s="8"/>
      <c r="I167" s="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24" customHeight="1" x14ac:dyDescent="0.25">
      <c r="A168" s="3"/>
      <c r="B168" s="8"/>
      <c r="C168" s="8"/>
      <c r="D168" s="8"/>
      <c r="E168" s="3"/>
      <c r="F168" s="3"/>
      <c r="G168" s="8"/>
      <c r="H168" s="8"/>
      <c r="I168" s="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24" customHeight="1" x14ac:dyDescent="0.25">
      <c r="A169" s="3"/>
      <c r="B169" s="8"/>
      <c r="C169" s="8"/>
      <c r="D169" s="8"/>
      <c r="E169" s="3"/>
      <c r="F169" s="3"/>
      <c r="G169" s="8"/>
      <c r="H169" s="8"/>
      <c r="I169" s="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24" customHeight="1" x14ac:dyDescent="0.25">
      <c r="A170" s="3"/>
      <c r="B170" s="8"/>
      <c r="C170" s="8"/>
      <c r="D170" s="8"/>
      <c r="E170" s="3"/>
      <c r="F170" s="3"/>
      <c r="G170" s="8"/>
      <c r="H170" s="8"/>
      <c r="I170" s="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24" customHeight="1" x14ac:dyDescent="0.25">
      <c r="A171" s="3"/>
      <c r="B171" s="8"/>
      <c r="C171" s="8"/>
      <c r="D171" s="8"/>
      <c r="E171" s="3"/>
      <c r="F171" s="3"/>
      <c r="G171" s="8"/>
      <c r="H171" s="8"/>
      <c r="I171" s="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24" customHeight="1" x14ac:dyDescent="0.25">
      <c r="A172" s="3"/>
      <c r="B172" s="8"/>
      <c r="C172" s="8"/>
      <c r="D172" s="8"/>
      <c r="E172" s="3"/>
      <c r="F172" s="3"/>
      <c r="G172" s="8"/>
      <c r="H172" s="8"/>
      <c r="I172" s="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24" customHeight="1" x14ac:dyDescent="0.25">
      <c r="A173" s="3"/>
      <c r="B173" s="8"/>
      <c r="C173" s="8"/>
      <c r="D173" s="8"/>
      <c r="E173" s="3"/>
      <c r="F173" s="3"/>
      <c r="G173" s="8"/>
      <c r="H173" s="8"/>
      <c r="I173" s="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24" customHeight="1" x14ac:dyDescent="0.25">
      <c r="A174" s="3"/>
      <c r="B174" s="8"/>
      <c r="C174" s="8"/>
      <c r="D174" s="8"/>
      <c r="E174" s="3"/>
      <c r="F174" s="3"/>
      <c r="G174" s="8"/>
      <c r="H174" s="8"/>
      <c r="I174" s="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24" customHeight="1" x14ac:dyDescent="0.25">
      <c r="A175" s="3"/>
      <c r="B175" s="8"/>
      <c r="C175" s="8"/>
      <c r="D175" s="8"/>
      <c r="E175" s="3"/>
      <c r="F175" s="3"/>
      <c r="G175" s="8"/>
      <c r="H175" s="8"/>
      <c r="I175" s="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24" customHeight="1" x14ac:dyDescent="0.25">
      <c r="A176" s="3"/>
      <c r="B176" s="8"/>
      <c r="C176" s="8"/>
      <c r="D176" s="8"/>
      <c r="E176" s="3"/>
      <c r="F176" s="3"/>
      <c r="G176" s="8"/>
      <c r="H176" s="8"/>
      <c r="I176" s="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24" customHeight="1" x14ac:dyDescent="0.25">
      <c r="A177" s="3"/>
      <c r="B177" s="8"/>
      <c r="C177" s="8"/>
      <c r="D177" s="8"/>
      <c r="E177" s="3"/>
      <c r="F177" s="3"/>
      <c r="G177" s="8"/>
      <c r="H177" s="8"/>
      <c r="I177" s="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24" customHeight="1" x14ac:dyDescent="0.25">
      <c r="A178" s="3"/>
      <c r="B178" s="8"/>
      <c r="C178" s="8"/>
      <c r="D178" s="8"/>
      <c r="E178" s="3"/>
      <c r="F178" s="3"/>
      <c r="G178" s="8"/>
      <c r="H178" s="8"/>
      <c r="I178" s="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24" customHeight="1" x14ac:dyDescent="0.25">
      <c r="A179" s="3"/>
      <c r="B179" s="8"/>
      <c r="C179" s="8"/>
      <c r="D179" s="8"/>
      <c r="E179" s="3"/>
      <c r="F179" s="3"/>
      <c r="G179" s="8"/>
      <c r="H179" s="8"/>
      <c r="I179" s="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24" customHeight="1" x14ac:dyDescent="0.25">
      <c r="A180" s="3"/>
      <c r="B180" s="8"/>
      <c r="C180" s="8"/>
      <c r="D180" s="8"/>
      <c r="E180" s="3"/>
      <c r="F180" s="3"/>
      <c r="G180" s="8"/>
      <c r="H180" s="8"/>
      <c r="I180" s="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24" customHeight="1" x14ac:dyDescent="0.25">
      <c r="A181" s="3"/>
      <c r="B181" s="8"/>
      <c r="C181" s="8"/>
      <c r="D181" s="8"/>
      <c r="E181" s="3"/>
      <c r="F181" s="3"/>
      <c r="G181" s="8"/>
      <c r="H181" s="8"/>
      <c r="I181" s="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24" customHeight="1" x14ac:dyDescent="0.25">
      <c r="A182" s="3"/>
      <c r="B182" s="8"/>
      <c r="C182" s="8"/>
      <c r="D182" s="8"/>
      <c r="E182" s="3"/>
      <c r="F182" s="3"/>
      <c r="G182" s="8"/>
      <c r="H182" s="8"/>
      <c r="I182" s="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24" customHeight="1" x14ac:dyDescent="0.25">
      <c r="A183" s="3"/>
      <c r="B183" s="8"/>
      <c r="C183" s="8"/>
      <c r="D183" s="8"/>
      <c r="E183" s="3"/>
      <c r="F183" s="3"/>
      <c r="G183" s="8"/>
      <c r="H183" s="8"/>
      <c r="I183" s="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24" customHeight="1" x14ac:dyDescent="0.25">
      <c r="A184" s="3"/>
      <c r="B184" s="8"/>
      <c r="C184" s="8"/>
      <c r="D184" s="8"/>
      <c r="E184" s="3"/>
      <c r="F184" s="3"/>
      <c r="G184" s="8"/>
      <c r="H184" s="8"/>
      <c r="I184" s="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24" customHeight="1" x14ac:dyDescent="0.25">
      <c r="A185" s="3"/>
      <c r="B185" s="8"/>
      <c r="C185" s="8"/>
      <c r="D185" s="8"/>
      <c r="E185" s="3"/>
      <c r="F185" s="3"/>
      <c r="G185" s="8"/>
      <c r="H185" s="8"/>
      <c r="I185" s="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24" customHeight="1" x14ac:dyDescent="0.25">
      <c r="A186" s="3"/>
      <c r="B186" s="8"/>
      <c r="C186" s="8"/>
      <c r="D186" s="8"/>
      <c r="E186" s="3"/>
      <c r="F186" s="3"/>
      <c r="G186" s="8"/>
      <c r="H186" s="8"/>
      <c r="I186" s="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24" customHeight="1" x14ac:dyDescent="0.25">
      <c r="A187" s="3"/>
      <c r="B187" s="8"/>
      <c r="C187" s="8"/>
      <c r="D187" s="8"/>
      <c r="E187" s="3"/>
      <c r="F187" s="3"/>
      <c r="G187" s="8"/>
      <c r="H187" s="8"/>
      <c r="I187" s="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24" customHeight="1" x14ac:dyDescent="0.25">
      <c r="A188" s="3"/>
      <c r="B188" s="8"/>
      <c r="C188" s="8"/>
      <c r="D188" s="8"/>
      <c r="E188" s="3"/>
      <c r="F188" s="3"/>
      <c r="G188" s="8"/>
      <c r="H188" s="8"/>
      <c r="I188" s="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24" customHeight="1" x14ac:dyDescent="0.25">
      <c r="A189" s="3"/>
      <c r="B189" s="8"/>
      <c r="C189" s="8"/>
      <c r="D189" s="8"/>
      <c r="E189" s="3"/>
      <c r="F189" s="3"/>
      <c r="G189" s="8"/>
      <c r="H189" s="8"/>
      <c r="I189" s="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24" customHeight="1" x14ac:dyDescent="0.25">
      <c r="A190" s="3"/>
      <c r="B190" s="8"/>
      <c r="C190" s="8"/>
      <c r="D190" s="8"/>
      <c r="E190" s="3"/>
      <c r="F190" s="3"/>
      <c r="G190" s="8"/>
      <c r="H190" s="8"/>
      <c r="I190" s="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24" customHeight="1" x14ac:dyDescent="0.25">
      <c r="A191" s="3"/>
      <c r="B191" s="8"/>
      <c r="C191" s="8"/>
      <c r="D191" s="8"/>
      <c r="E191" s="3"/>
      <c r="F191" s="3"/>
      <c r="G191" s="8"/>
      <c r="H191" s="8"/>
      <c r="I191" s="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24" customHeight="1" x14ac:dyDescent="0.25">
      <c r="A192" s="3"/>
      <c r="B192" s="8"/>
      <c r="C192" s="8"/>
      <c r="D192" s="8"/>
      <c r="E192" s="3"/>
      <c r="F192" s="3"/>
      <c r="G192" s="8"/>
      <c r="H192" s="8"/>
      <c r="I192" s="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24" customHeight="1" x14ac:dyDescent="0.25">
      <c r="A193" s="3"/>
      <c r="B193" s="8"/>
      <c r="C193" s="8"/>
      <c r="D193" s="8"/>
      <c r="E193" s="3"/>
      <c r="F193" s="3"/>
      <c r="G193" s="8"/>
      <c r="H193" s="8"/>
      <c r="I193" s="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24" customHeight="1" x14ac:dyDescent="0.25">
      <c r="A194" s="3"/>
      <c r="B194" s="8"/>
      <c r="C194" s="8"/>
      <c r="D194" s="8"/>
      <c r="E194" s="3"/>
      <c r="F194" s="3"/>
      <c r="G194" s="8"/>
      <c r="H194" s="8"/>
      <c r="I194" s="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24" customHeight="1" x14ac:dyDescent="0.25">
      <c r="A195" s="3"/>
      <c r="B195" s="8"/>
      <c r="C195" s="8"/>
      <c r="D195" s="8"/>
      <c r="E195" s="3"/>
      <c r="F195" s="3"/>
      <c r="G195" s="8"/>
      <c r="H195" s="8"/>
      <c r="I195" s="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24" customHeight="1" x14ac:dyDescent="0.25">
      <c r="A196" s="3"/>
      <c r="B196" s="8"/>
      <c r="C196" s="8"/>
      <c r="D196" s="8"/>
      <c r="E196" s="3"/>
      <c r="F196" s="3"/>
      <c r="G196" s="8"/>
      <c r="H196" s="8"/>
      <c r="I196" s="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24" customHeight="1" x14ac:dyDescent="0.25">
      <c r="A197" s="3"/>
      <c r="B197" s="8"/>
      <c r="C197" s="8"/>
      <c r="D197" s="8"/>
      <c r="E197" s="3"/>
      <c r="F197" s="3"/>
      <c r="G197" s="8"/>
      <c r="H197" s="8"/>
      <c r="I197" s="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24" customHeight="1" x14ac:dyDescent="0.25">
      <c r="A198" s="3"/>
      <c r="B198" s="8"/>
      <c r="C198" s="8"/>
      <c r="D198" s="8"/>
      <c r="E198" s="3"/>
      <c r="F198" s="3"/>
      <c r="G198" s="8"/>
      <c r="H198" s="8"/>
      <c r="I198" s="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24" customHeight="1" x14ac:dyDescent="0.25">
      <c r="A199" s="3"/>
      <c r="B199" s="8"/>
      <c r="C199" s="8"/>
      <c r="D199" s="8"/>
      <c r="E199" s="3"/>
      <c r="F199" s="3"/>
      <c r="G199" s="8"/>
      <c r="H199" s="8"/>
      <c r="I199" s="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24" customHeight="1" x14ac:dyDescent="0.25">
      <c r="A200" s="3"/>
      <c r="B200" s="8"/>
      <c r="C200" s="8"/>
      <c r="D200" s="8"/>
      <c r="E200" s="3"/>
      <c r="F200" s="3"/>
      <c r="G200" s="8"/>
      <c r="H200" s="8"/>
      <c r="I200" s="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24" customHeight="1" x14ac:dyDescent="0.25">
      <c r="A201" s="3"/>
      <c r="B201" s="8"/>
      <c r="C201" s="8"/>
      <c r="D201" s="8"/>
      <c r="E201" s="3"/>
      <c r="F201" s="3"/>
      <c r="G201" s="8"/>
      <c r="H201" s="8"/>
      <c r="I201" s="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24" customHeight="1" x14ac:dyDescent="0.25">
      <c r="A202" s="3"/>
      <c r="B202" s="8"/>
      <c r="C202" s="8"/>
      <c r="D202" s="8"/>
      <c r="E202" s="3"/>
      <c r="F202" s="3"/>
      <c r="G202" s="8"/>
      <c r="H202" s="8"/>
      <c r="I202" s="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24" customHeight="1" x14ac:dyDescent="0.25">
      <c r="A203" s="3"/>
      <c r="B203" s="8"/>
      <c r="C203" s="8"/>
      <c r="D203" s="8"/>
      <c r="E203" s="3"/>
      <c r="F203" s="3"/>
      <c r="G203" s="8"/>
      <c r="H203" s="8"/>
      <c r="I203" s="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24" customHeight="1" x14ac:dyDescent="0.25">
      <c r="A204" s="3"/>
      <c r="B204" s="8"/>
      <c r="C204" s="8"/>
      <c r="D204" s="8"/>
      <c r="E204" s="3"/>
      <c r="F204" s="3"/>
      <c r="G204" s="8"/>
      <c r="H204" s="8"/>
      <c r="I204" s="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24" customHeight="1" x14ac:dyDescent="0.25">
      <c r="A205" s="3"/>
      <c r="B205" s="8"/>
      <c r="C205" s="8"/>
      <c r="D205" s="8"/>
      <c r="E205" s="3"/>
      <c r="F205" s="3"/>
      <c r="G205" s="8"/>
      <c r="H205" s="8"/>
      <c r="I205" s="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24" customHeight="1" x14ac:dyDescent="0.25">
      <c r="A206" s="3"/>
      <c r="B206" s="8"/>
      <c r="C206" s="8"/>
      <c r="D206" s="8"/>
      <c r="E206" s="3"/>
      <c r="F206" s="3"/>
      <c r="G206" s="8"/>
      <c r="H206" s="8"/>
      <c r="I206" s="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24" customHeight="1" x14ac:dyDescent="0.25">
      <c r="A207" s="3"/>
      <c r="B207" s="8"/>
      <c r="C207" s="8"/>
      <c r="D207" s="8"/>
      <c r="E207" s="3"/>
      <c r="F207" s="3"/>
      <c r="G207" s="8"/>
      <c r="H207" s="8"/>
      <c r="I207" s="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24" customHeight="1" x14ac:dyDescent="0.25">
      <c r="A208" s="3"/>
      <c r="B208" s="8"/>
      <c r="C208" s="8"/>
      <c r="D208" s="8"/>
      <c r="E208" s="3"/>
      <c r="F208" s="3"/>
      <c r="G208" s="8"/>
      <c r="H208" s="8"/>
      <c r="I208" s="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24" customHeight="1" x14ac:dyDescent="0.25">
      <c r="A209" s="3"/>
      <c r="B209" s="8"/>
      <c r="C209" s="8"/>
      <c r="D209" s="8"/>
      <c r="E209" s="3"/>
      <c r="F209" s="3"/>
      <c r="G209" s="8"/>
      <c r="H209" s="8"/>
      <c r="I209" s="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24" customHeight="1" x14ac:dyDescent="0.25">
      <c r="A210" s="3"/>
      <c r="B210" s="8"/>
      <c r="C210" s="8"/>
      <c r="D210" s="8"/>
      <c r="E210" s="3"/>
      <c r="F210" s="3"/>
      <c r="G210" s="8"/>
      <c r="H210" s="8"/>
      <c r="I210" s="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24" customHeight="1" x14ac:dyDescent="0.25">
      <c r="A211" s="3"/>
      <c r="B211" s="8"/>
      <c r="C211" s="8"/>
      <c r="D211" s="8"/>
      <c r="E211" s="3"/>
      <c r="F211" s="3"/>
      <c r="G211" s="8"/>
      <c r="H211" s="8"/>
      <c r="I211" s="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24" customHeight="1" x14ac:dyDescent="0.25">
      <c r="A212" s="3"/>
      <c r="B212" s="8"/>
      <c r="C212" s="8"/>
      <c r="D212" s="8"/>
      <c r="E212" s="3"/>
      <c r="F212" s="3"/>
      <c r="G212" s="8"/>
      <c r="H212" s="8"/>
      <c r="I212" s="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24" customHeight="1" x14ac:dyDescent="0.25">
      <c r="A213" s="3"/>
      <c r="B213" s="8"/>
      <c r="C213" s="8"/>
      <c r="D213" s="8"/>
      <c r="E213" s="3"/>
      <c r="F213" s="3"/>
      <c r="G213" s="8"/>
      <c r="H213" s="8"/>
      <c r="I213" s="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24" customHeight="1" x14ac:dyDescent="0.25">
      <c r="A214" s="3"/>
      <c r="B214" s="8"/>
      <c r="C214" s="8"/>
      <c r="D214" s="8"/>
      <c r="E214" s="3"/>
      <c r="F214" s="3"/>
      <c r="G214" s="8"/>
      <c r="H214" s="8"/>
      <c r="I214" s="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24" customHeight="1" x14ac:dyDescent="0.25">
      <c r="A215" s="3"/>
      <c r="B215" s="8"/>
      <c r="C215" s="8"/>
      <c r="D215" s="8"/>
      <c r="E215" s="3"/>
      <c r="F215" s="3"/>
      <c r="G215" s="8"/>
      <c r="H215" s="8"/>
      <c r="I215" s="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24" customHeight="1" x14ac:dyDescent="0.25">
      <c r="A216" s="3"/>
      <c r="B216" s="8"/>
      <c r="C216" s="8"/>
      <c r="D216" s="8"/>
      <c r="E216" s="3"/>
      <c r="F216" s="3"/>
      <c r="G216" s="8"/>
      <c r="H216" s="8"/>
      <c r="I216" s="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24" customHeight="1" x14ac:dyDescent="0.25">
      <c r="A217" s="3"/>
      <c r="B217" s="8"/>
      <c r="C217" s="8"/>
      <c r="D217" s="8"/>
      <c r="E217" s="3"/>
      <c r="F217" s="3"/>
      <c r="G217" s="8"/>
      <c r="H217" s="8"/>
      <c r="I217" s="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24" customHeight="1" x14ac:dyDescent="0.25">
      <c r="A218" s="3"/>
      <c r="B218" s="8"/>
      <c r="C218" s="8"/>
      <c r="D218" s="8"/>
      <c r="E218" s="3"/>
      <c r="F218" s="3"/>
      <c r="G218" s="8"/>
      <c r="H218" s="8"/>
      <c r="I218" s="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24" customHeight="1" x14ac:dyDescent="0.25">
      <c r="A219" s="3"/>
      <c r="B219" s="8"/>
      <c r="C219" s="8"/>
      <c r="D219" s="8"/>
      <c r="E219" s="3"/>
      <c r="F219" s="3"/>
      <c r="G219" s="8"/>
      <c r="H219" s="8"/>
      <c r="I219" s="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24" customHeight="1" x14ac:dyDescent="0.25">
      <c r="A220" s="3"/>
      <c r="B220" s="8"/>
      <c r="C220" s="8"/>
      <c r="D220" s="8"/>
      <c r="E220" s="3"/>
      <c r="F220" s="3"/>
      <c r="G220" s="8"/>
      <c r="H220" s="8"/>
      <c r="I220" s="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24" customHeight="1" x14ac:dyDescent="0.25">
      <c r="A221" s="3"/>
      <c r="B221" s="8"/>
      <c r="C221" s="8"/>
      <c r="D221" s="8"/>
      <c r="E221" s="3"/>
      <c r="F221" s="3"/>
      <c r="G221" s="8"/>
      <c r="H221" s="8"/>
      <c r="I221" s="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24" customHeight="1" x14ac:dyDescent="0.25">
      <c r="A222" s="3"/>
      <c r="B222" s="8"/>
      <c r="C222" s="8"/>
      <c r="D222" s="8"/>
      <c r="E222" s="3"/>
      <c r="F222" s="3"/>
      <c r="G222" s="8"/>
      <c r="H222" s="8"/>
      <c r="I222" s="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24" customHeight="1" x14ac:dyDescent="0.25">
      <c r="A223" s="3"/>
      <c r="B223" s="8"/>
      <c r="C223" s="8"/>
      <c r="D223" s="8"/>
      <c r="E223" s="3"/>
      <c r="F223" s="3"/>
      <c r="G223" s="8"/>
      <c r="H223" s="8"/>
      <c r="I223" s="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24" customHeight="1" x14ac:dyDescent="0.25">
      <c r="A224" s="3"/>
      <c r="B224" s="8"/>
      <c r="C224" s="8"/>
      <c r="D224" s="8"/>
      <c r="E224" s="3"/>
      <c r="F224" s="3"/>
      <c r="G224" s="8"/>
      <c r="H224" s="8"/>
      <c r="I224" s="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24" customHeight="1" x14ac:dyDescent="0.25">
      <c r="A225" s="3"/>
      <c r="B225" s="8"/>
      <c r="C225" s="8"/>
      <c r="D225" s="8"/>
      <c r="E225" s="3"/>
      <c r="F225" s="3"/>
      <c r="G225" s="8"/>
      <c r="H225" s="8"/>
      <c r="I225" s="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24" customHeight="1" x14ac:dyDescent="0.25">
      <c r="A226" s="3"/>
      <c r="B226" s="8"/>
      <c r="C226" s="8"/>
      <c r="D226" s="8"/>
      <c r="E226" s="3"/>
      <c r="F226" s="3"/>
      <c r="G226" s="8"/>
      <c r="H226" s="8"/>
      <c r="I226" s="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24" customHeight="1" x14ac:dyDescent="0.25">
      <c r="A227" s="3"/>
      <c r="B227" s="8"/>
      <c r="C227" s="8"/>
      <c r="D227" s="8"/>
      <c r="E227" s="3"/>
      <c r="F227" s="3"/>
      <c r="G227" s="8"/>
      <c r="H227" s="8"/>
      <c r="I227" s="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24" customHeight="1" x14ac:dyDescent="0.25">
      <c r="A228" s="3"/>
      <c r="B228" s="8"/>
      <c r="C228" s="8"/>
      <c r="D228" s="8"/>
      <c r="E228" s="3"/>
      <c r="F228" s="3"/>
      <c r="G228" s="8"/>
      <c r="H228" s="8"/>
      <c r="I228" s="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24" customHeight="1" x14ac:dyDescent="0.25">
      <c r="A229" s="3"/>
      <c r="B229" s="8"/>
      <c r="C229" s="8"/>
      <c r="D229" s="8"/>
      <c r="E229" s="3"/>
      <c r="F229" s="3"/>
      <c r="G229" s="8"/>
      <c r="H229" s="8"/>
      <c r="I229" s="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24" customHeight="1" x14ac:dyDescent="0.25">
      <c r="A230" s="3"/>
      <c r="B230" s="8"/>
      <c r="C230" s="8"/>
      <c r="D230" s="8"/>
      <c r="E230" s="3"/>
      <c r="F230" s="3"/>
      <c r="G230" s="8"/>
      <c r="H230" s="8"/>
      <c r="I230" s="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24" customHeight="1" x14ac:dyDescent="0.25">
      <c r="A231" s="3"/>
      <c r="B231" s="8"/>
      <c r="C231" s="8"/>
      <c r="D231" s="8"/>
      <c r="E231" s="3"/>
      <c r="F231" s="3"/>
      <c r="G231" s="8"/>
      <c r="H231" s="8"/>
      <c r="I231" s="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24" customHeight="1" x14ac:dyDescent="0.25">
      <c r="A232" s="3"/>
      <c r="B232" s="8"/>
      <c r="C232" s="8"/>
      <c r="D232" s="8"/>
      <c r="E232" s="3"/>
      <c r="F232" s="3"/>
      <c r="G232" s="8"/>
      <c r="H232" s="8"/>
      <c r="I232" s="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24" customHeight="1" x14ac:dyDescent="0.25">
      <c r="A233" s="3"/>
      <c r="B233" s="8"/>
      <c r="C233" s="8"/>
      <c r="D233" s="8"/>
      <c r="E233" s="3"/>
      <c r="F233" s="3"/>
      <c r="G233" s="8"/>
      <c r="H233" s="8"/>
      <c r="I233" s="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24" customHeight="1" x14ac:dyDescent="0.25">
      <c r="A234" s="3"/>
      <c r="B234" s="8"/>
      <c r="C234" s="8"/>
      <c r="D234" s="8"/>
      <c r="E234" s="3"/>
      <c r="F234" s="3"/>
      <c r="G234" s="8"/>
      <c r="H234" s="8"/>
      <c r="I234" s="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24" customHeight="1" x14ac:dyDescent="0.25">
      <c r="A235" s="3"/>
      <c r="B235" s="8"/>
      <c r="C235" s="8"/>
      <c r="D235" s="8"/>
      <c r="E235" s="3"/>
      <c r="F235" s="3"/>
      <c r="G235" s="8"/>
      <c r="H235" s="8"/>
      <c r="I235" s="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24" customHeight="1" x14ac:dyDescent="0.25">
      <c r="A236" s="3"/>
      <c r="B236" s="8"/>
      <c r="C236" s="8"/>
      <c r="D236" s="8"/>
      <c r="E236" s="3"/>
      <c r="F236" s="3"/>
      <c r="G236" s="8"/>
      <c r="H236" s="8"/>
      <c r="I236" s="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24" customHeight="1" x14ac:dyDescent="0.25">
      <c r="A237" s="3"/>
      <c r="B237" s="8"/>
      <c r="C237" s="8"/>
      <c r="D237" s="8"/>
      <c r="E237" s="3"/>
      <c r="F237" s="3"/>
      <c r="G237" s="8"/>
      <c r="H237" s="8"/>
      <c r="I237" s="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24" customHeight="1" x14ac:dyDescent="0.25">
      <c r="A238" s="3"/>
      <c r="B238" s="8"/>
      <c r="C238" s="8"/>
      <c r="D238" s="8"/>
      <c r="E238" s="3"/>
      <c r="F238" s="3"/>
      <c r="G238" s="8"/>
      <c r="H238" s="8"/>
      <c r="I238" s="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24" customHeight="1" x14ac:dyDescent="0.25">
      <c r="A239" s="3"/>
      <c r="B239" s="8"/>
      <c r="C239" s="8"/>
      <c r="D239" s="8"/>
      <c r="E239" s="3"/>
      <c r="F239" s="3"/>
      <c r="G239" s="8"/>
      <c r="H239" s="8"/>
      <c r="I239" s="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24" customHeight="1" x14ac:dyDescent="0.25">
      <c r="A240" s="3"/>
      <c r="B240" s="8"/>
      <c r="C240" s="8"/>
      <c r="D240" s="8"/>
      <c r="E240" s="3"/>
      <c r="F240" s="3"/>
      <c r="G240" s="8"/>
      <c r="H240" s="8"/>
      <c r="I240" s="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24" customHeight="1" x14ac:dyDescent="0.25">
      <c r="A241" s="3"/>
      <c r="B241" s="8"/>
      <c r="C241" s="8"/>
      <c r="D241" s="8"/>
      <c r="E241" s="3"/>
      <c r="F241" s="3"/>
      <c r="G241" s="8"/>
      <c r="H241" s="8"/>
      <c r="I241" s="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24" customHeight="1" x14ac:dyDescent="0.25">
      <c r="A242" s="3"/>
      <c r="B242" s="8"/>
      <c r="C242" s="8"/>
      <c r="D242" s="8"/>
      <c r="E242" s="3"/>
      <c r="F242" s="3"/>
      <c r="G242" s="8"/>
      <c r="H242" s="8"/>
      <c r="I242" s="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24" customHeight="1" x14ac:dyDescent="0.25">
      <c r="A243" s="3"/>
      <c r="B243" s="8"/>
      <c r="C243" s="8"/>
      <c r="D243" s="8"/>
      <c r="E243" s="3"/>
      <c r="F243" s="3"/>
      <c r="G243" s="8"/>
      <c r="H243" s="8"/>
      <c r="I243" s="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24" customHeight="1" x14ac:dyDescent="0.25">
      <c r="A244" s="3"/>
      <c r="B244" s="8"/>
      <c r="C244" s="8"/>
      <c r="D244" s="8"/>
      <c r="E244" s="3"/>
      <c r="F244" s="3"/>
      <c r="G244" s="8"/>
      <c r="H244" s="8"/>
      <c r="I244" s="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24" customHeight="1" x14ac:dyDescent="0.25">
      <c r="A245" s="3"/>
      <c r="B245" s="8"/>
      <c r="C245" s="8"/>
      <c r="D245" s="8"/>
      <c r="E245" s="3"/>
      <c r="F245" s="3"/>
      <c r="G245" s="8"/>
      <c r="H245" s="8"/>
      <c r="I245" s="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24" customHeight="1" x14ac:dyDescent="0.25">
      <c r="A246" s="3"/>
      <c r="B246" s="8"/>
      <c r="C246" s="8"/>
      <c r="D246" s="8"/>
      <c r="E246" s="3"/>
      <c r="F246" s="3"/>
      <c r="G246" s="8"/>
      <c r="H246" s="8"/>
      <c r="I246" s="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24" customHeight="1" x14ac:dyDescent="0.25">
      <c r="A247" s="3"/>
      <c r="B247" s="8"/>
      <c r="C247" s="8"/>
      <c r="D247" s="8"/>
      <c r="E247" s="3"/>
      <c r="F247" s="3"/>
      <c r="G247" s="8"/>
      <c r="H247" s="8"/>
      <c r="I247" s="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24" customHeight="1" x14ac:dyDescent="0.25">
      <c r="A248" s="3"/>
      <c r="B248" s="8"/>
      <c r="C248" s="8"/>
      <c r="D248" s="8"/>
      <c r="E248" s="3"/>
      <c r="F248" s="3"/>
      <c r="G248" s="8"/>
      <c r="H248" s="8"/>
      <c r="I248" s="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24" customHeight="1" x14ac:dyDescent="0.25">
      <c r="A249" s="3"/>
      <c r="B249" s="8"/>
      <c r="C249" s="8"/>
      <c r="D249" s="8"/>
      <c r="E249" s="3"/>
      <c r="F249" s="3"/>
      <c r="G249" s="8"/>
      <c r="H249" s="8"/>
      <c r="I249" s="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24" customHeight="1" x14ac:dyDescent="0.25">
      <c r="A250" s="3"/>
      <c r="B250" s="8"/>
      <c r="C250" s="8"/>
      <c r="D250" s="8"/>
      <c r="E250" s="3"/>
      <c r="F250" s="3"/>
      <c r="G250" s="8"/>
      <c r="H250" s="8"/>
      <c r="I250" s="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24" customHeight="1" x14ac:dyDescent="0.25">
      <c r="A251" s="3"/>
      <c r="B251" s="8"/>
      <c r="C251" s="8"/>
      <c r="D251" s="8"/>
      <c r="E251" s="3"/>
      <c r="F251" s="3"/>
      <c r="G251" s="8"/>
      <c r="H251" s="8"/>
      <c r="I251" s="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24" customHeight="1" x14ac:dyDescent="0.25">
      <c r="A252" s="3"/>
      <c r="B252" s="8"/>
      <c r="C252" s="8"/>
      <c r="D252" s="8"/>
      <c r="E252" s="3"/>
      <c r="F252" s="3"/>
      <c r="G252" s="8"/>
      <c r="H252" s="8"/>
      <c r="I252" s="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24" customHeight="1" x14ac:dyDescent="0.25">
      <c r="A253" s="3"/>
      <c r="B253" s="8"/>
      <c r="C253" s="8"/>
      <c r="D253" s="8"/>
      <c r="E253" s="3"/>
      <c r="F253" s="3"/>
      <c r="G253" s="8"/>
      <c r="H253" s="8"/>
      <c r="I253" s="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24" customHeight="1" x14ac:dyDescent="0.25">
      <c r="A254" s="3"/>
      <c r="B254" s="8"/>
      <c r="C254" s="8"/>
      <c r="D254" s="8"/>
      <c r="E254" s="3"/>
      <c r="F254" s="3"/>
      <c r="G254" s="8"/>
      <c r="H254" s="8"/>
      <c r="I254" s="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24" customHeight="1" x14ac:dyDescent="0.25">
      <c r="A255" s="3"/>
      <c r="B255" s="8"/>
      <c r="C255" s="8"/>
      <c r="D255" s="8"/>
      <c r="E255" s="3"/>
      <c r="F255" s="3"/>
      <c r="G255" s="8"/>
      <c r="H255" s="8"/>
      <c r="I255" s="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24" customHeight="1" x14ac:dyDescent="0.25">
      <c r="A256" s="3"/>
      <c r="B256" s="8"/>
      <c r="C256" s="8"/>
      <c r="D256" s="8"/>
      <c r="E256" s="3"/>
      <c r="F256" s="3"/>
      <c r="G256" s="8"/>
      <c r="H256" s="8"/>
      <c r="I256" s="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24" customHeight="1" x14ac:dyDescent="0.25">
      <c r="A257" s="3"/>
      <c r="B257" s="8"/>
      <c r="C257" s="8"/>
      <c r="D257" s="8"/>
      <c r="E257" s="3"/>
      <c r="F257" s="3"/>
      <c r="G257" s="8"/>
      <c r="H257" s="8"/>
      <c r="I257" s="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24" customHeight="1" x14ac:dyDescent="0.25">
      <c r="A258" s="3"/>
      <c r="B258" s="8"/>
      <c r="C258" s="8"/>
      <c r="D258" s="8"/>
      <c r="E258" s="3"/>
      <c r="F258" s="3"/>
      <c r="G258" s="8"/>
      <c r="H258" s="8"/>
      <c r="I258" s="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24" customHeight="1" x14ac:dyDescent="0.25">
      <c r="A259" s="3"/>
      <c r="B259" s="8"/>
      <c r="C259" s="8"/>
      <c r="D259" s="8"/>
      <c r="E259" s="3"/>
      <c r="F259" s="3"/>
      <c r="G259" s="8"/>
      <c r="H259" s="8"/>
      <c r="I259" s="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24" customHeight="1" x14ac:dyDescent="0.25">
      <c r="A260" s="3"/>
      <c r="B260" s="8"/>
      <c r="C260" s="8"/>
      <c r="D260" s="8"/>
      <c r="E260" s="3"/>
      <c r="F260" s="3"/>
      <c r="G260" s="8"/>
      <c r="H260" s="8"/>
      <c r="I260" s="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24" customHeight="1" x14ac:dyDescent="0.25">
      <c r="A261" s="3"/>
      <c r="B261" s="8"/>
      <c r="C261" s="8"/>
      <c r="D261" s="8"/>
      <c r="E261" s="3"/>
      <c r="F261" s="3"/>
      <c r="G261" s="8"/>
      <c r="H261" s="8"/>
      <c r="I261" s="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24" customHeight="1" x14ac:dyDescent="0.25">
      <c r="A262" s="3"/>
      <c r="B262" s="8"/>
      <c r="C262" s="8"/>
      <c r="D262" s="8"/>
      <c r="E262" s="3"/>
      <c r="F262" s="3"/>
      <c r="G262" s="8"/>
      <c r="H262" s="8"/>
      <c r="I262" s="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24" customHeight="1" x14ac:dyDescent="0.25">
      <c r="A263" s="3"/>
      <c r="B263" s="8"/>
      <c r="C263" s="8"/>
      <c r="D263" s="8"/>
      <c r="E263" s="3"/>
      <c r="F263" s="3"/>
      <c r="G263" s="8"/>
      <c r="H263" s="8"/>
      <c r="I263" s="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24" customHeight="1" x14ac:dyDescent="0.25">
      <c r="A264" s="3"/>
      <c r="B264" s="8"/>
      <c r="C264" s="8"/>
      <c r="D264" s="8"/>
      <c r="E264" s="3"/>
      <c r="F264" s="3"/>
      <c r="G264" s="8"/>
      <c r="H264" s="8"/>
      <c r="I264" s="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24" customHeight="1" x14ac:dyDescent="0.25">
      <c r="A265" s="3"/>
      <c r="B265" s="8"/>
      <c r="C265" s="8"/>
      <c r="D265" s="8"/>
      <c r="E265" s="3"/>
      <c r="F265" s="3"/>
      <c r="G265" s="8"/>
      <c r="H265" s="8"/>
      <c r="I265" s="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24" customHeight="1" x14ac:dyDescent="0.25">
      <c r="A266" s="3"/>
      <c r="B266" s="8"/>
      <c r="C266" s="8"/>
      <c r="D266" s="8"/>
      <c r="E266" s="3"/>
      <c r="F266" s="3"/>
      <c r="G266" s="8"/>
      <c r="H266" s="8"/>
      <c r="I266" s="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24" customHeight="1" x14ac:dyDescent="0.25">
      <c r="A267" s="3"/>
      <c r="B267" s="8"/>
      <c r="C267" s="8"/>
      <c r="D267" s="8"/>
      <c r="E267" s="3"/>
      <c r="F267" s="3"/>
      <c r="G267" s="8"/>
      <c r="H267" s="8"/>
      <c r="I267" s="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24" customHeight="1" x14ac:dyDescent="0.25">
      <c r="A268" s="3"/>
      <c r="B268" s="8"/>
      <c r="C268" s="8"/>
      <c r="D268" s="8"/>
      <c r="E268" s="3"/>
      <c r="F268" s="3"/>
      <c r="G268" s="8"/>
      <c r="H268" s="8"/>
      <c r="I268" s="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24" customHeight="1" x14ac:dyDescent="0.25">
      <c r="A269" s="3"/>
      <c r="B269" s="8"/>
      <c r="C269" s="8"/>
      <c r="D269" s="8"/>
      <c r="E269" s="3"/>
      <c r="F269" s="3"/>
      <c r="G269" s="8"/>
      <c r="H269" s="8"/>
      <c r="I269" s="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24" customHeight="1" x14ac:dyDescent="0.25">
      <c r="A270" s="3"/>
      <c r="B270" s="8"/>
      <c r="C270" s="8"/>
      <c r="D270" s="8"/>
      <c r="E270" s="3"/>
      <c r="F270" s="3"/>
      <c r="G270" s="8"/>
      <c r="H270" s="8"/>
      <c r="I270" s="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24" customHeight="1" x14ac:dyDescent="0.25">
      <c r="A271" s="3"/>
      <c r="B271" s="8"/>
      <c r="C271" s="8"/>
      <c r="D271" s="8"/>
      <c r="E271" s="3"/>
      <c r="F271" s="3"/>
      <c r="G271" s="8"/>
      <c r="H271" s="8"/>
      <c r="I271" s="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24" customHeight="1" x14ac:dyDescent="0.25">
      <c r="A272" s="3"/>
      <c r="B272" s="8"/>
      <c r="C272" s="8"/>
      <c r="D272" s="8"/>
      <c r="E272" s="3"/>
      <c r="F272" s="3"/>
      <c r="G272" s="8"/>
      <c r="H272" s="8"/>
      <c r="I272" s="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24" customHeight="1" x14ac:dyDescent="0.25">
      <c r="A273" s="3"/>
      <c r="B273" s="8"/>
      <c r="C273" s="8"/>
      <c r="D273" s="8"/>
      <c r="E273" s="3"/>
      <c r="F273" s="3"/>
      <c r="G273" s="8"/>
      <c r="H273" s="8"/>
      <c r="I273" s="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24" customHeight="1" x14ac:dyDescent="0.25">
      <c r="A274" s="3"/>
      <c r="B274" s="8"/>
      <c r="C274" s="8"/>
      <c r="D274" s="8"/>
      <c r="E274" s="3"/>
      <c r="F274" s="3"/>
      <c r="G274" s="8"/>
      <c r="H274" s="8"/>
      <c r="I274" s="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24" customHeight="1" x14ac:dyDescent="0.25">
      <c r="A275" s="3"/>
      <c r="B275" s="8"/>
      <c r="C275" s="8"/>
      <c r="D275" s="8"/>
      <c r="E275" s="3"/>
      <c r="F275" s="3"/>
      <c r="G275" s="8"/>
      <c r="H275" s="8"/>
      <c r="I275" s="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24" customHeight="1" x14ac:dyDescent="0.25">
      <c r="A276" s="3"/>
      <c r="B276" s="8"/>
      <c r="C276" s="8"/>
      <c r="D276" s="8"/>
      <c r="E276" s="3"/>
      <c r="F276" s="3"/>
      <c r="G276" s="8"/>
      <c r="H276" s="8"/>
      <c r="I276" s="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24" customHeight="1" x14ac:dyDescent="0.25">
      <c r="A277" s="3"/>
      <c r="B277" s="8"/>
      <c r="C277" s="8"/>
      <c r="D277" s="8"/>
      <c r="E277" s="3"/>
      <c r="F277" s="3"/>
      <c r="G277" s="8"/>
      <c r="H277" s="8"/>
      <c r="I277" s="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24" customHeight="1" x14ac:dyDescent="0.25">
      <c r="A278" s="3"/>
      <c r="B278" s="8"/>
      <c r="C278" s="8"/>
      <c r="D278" s="8"/>
      <c r="E278" s="3"/>
      <c r="F278" s="3"/>
      <c r="G278" s="8"/>
      <c r="H278" s="8"/>
      <c r="I278" s="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24" customHeight="1" x14ac:dyDescent="0.25">
      <c r="A279" s="3"/>
      <c r="B279" s="8"/>
      <c r="C279" s="8"/>
      <c r="D279" s="8"/>
      <c r="E279" s="3"/>
      <c r="F279" s="3"/>
      <c r="G279" s="8"/>
      <c r="H279" s="8"/>
      <c r="I279" s="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24" customHeight="1" x14ac:dyDescent="0.25">
      <c r="A280" s="3"/>
      <c r="B280" s="8"/>
      <c r="C280" s="8"/>
      <c r="D280" s="8"/>
      <c r="E280" s="3"/>
      <c r="F280" s="3"/>
      <c r="G280" s="8"/>
      <c r="H280" s="8"/>
      <c r="I280" s="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24" customHeight="1" x14ac:dyDescent="0.25">
      <c r="A281" s="3"/>
      <c r="B281" s="8"/>
      <c r="C281" s="8"/>
      <c r="D281" s="8"/>
      <c r="E281" s="3"/>
      <c r="F281" s="3"/>
      <c r="G281" s="8"/>
      <c r="H281" s="8"/>
      <c r="I281" s="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24" customHeight="1" x14ac:dyDescent="0.25">
      <c r="A282" s="3"/>
      <c r="B282" s="8"/>
      <c r="C282" s="8"/>
      <c r="D282" s="8"/>
      <c r="E282" s="3"/>
      <c r="F282" s="3"/>
      <c r="G282" s="8"/>
      <c r="H282" s="8"/>
      <c r="I282" s="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24" customHeight="1" x14ac:dyDescent="0.25">
      <c r="A283" s="3"/>
      <c r="B283" s="8"/>
      <c r="C283" s="8"/>
      <c r="D283" s="8"/>
      <c r="E283" s="3"/>
      <c r="F283" s="3"/>
      <c r="G283" s="8"/>
      <c r="H283" s="8"/>
      <c r="I283" s="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24" customHeight="1" x14ac:dyDescent="0.25">
      <c r="A284" s="3"/>
      <c r="B284" s="8"/>
      <c r="C284" s="8"/>
      <c r="D284" s="8"/>
      <c r="E284" s="3"/>
      <c r="F284" s="3"/>
      <c r="G284" s="8"/>
      <c r="H284" s="8"/>
      <c r="I284" s="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24" customHeight="1" x14ac:dyDescent="0.25">
      <c r="A285" s="3"/>
      <c r="B285" s="8"/>
      <c r="C285" s="8"/>
      <c r="D285" s="8"/>
      <c r="E285" s="3"/>
      <c r="F285" s="3"/>
      <c r="G285" s="8"/>
      <c r="H285" s="8"/>
      <c r="I285" s="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24" customHeight="1" x14ac:dyDescent="0.25">
      <c r="A286" s="3"/>
      <c r="B286" s="8"/>
      <c r="C286" s="8"/>
      <c r="D286" s="8"/>
      <c r="E286" s="3"/>
      <c r="F286" s="3"/>
      <c r="G286" s="8"/>
      <c r="H286" s="8"/>
      <c r="I286" s="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24" customHeight="1" x14ac:dyDescent="0.25">
      <c r="A287" s="3"/>
      <c r="B287" s="8"/>
      <c r="C287" s="8"/>
      <c r="D287" s="8"/>
      <c r="E287" s="3"/>
      <c r="F287" s="3"/>
      <c r="G287" s="8"/>
      <c r="H287" s="8"/>
      <c r="I287" s="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24" customHeight="1" x14ac:dyDescent="0.25">
      <c r="A288" s="3"/>
      <c r="B288" s="8"/>
      <c r="C288" s="8"/>
      <c r="D288" s="8"/>
      <c r="E288" s="3"/>
      <c r="F288" s="3"/>
      <c r="G288" s="8"/>
      <c r="H288" s="8"/>
      <c r="I288" s="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24" customHeight="1" x14ac:dyDescent="0.25">
      <c r="A289" s="3"/>
      <c r="B289" s="8"/>
      <c r="C289" s="8"/>
      <c r="D289" s="8"/>
      <c r="E289" s="3"/>
      <c r="F289" s="3"/>
      <c r="G289" s="8"/>
      <c r="H289" s="8"/>
      <c r="I289" s="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24" customHeight="1" x14ac:dyDescent="0.25">
      <c r="A290" s="3"/>
      <c r="B290" s="8"/>
      <c r="C290" s="8"/>
      <c r="D290" s="8"/>
      <c r="E290" s="3"/>
      <c r="F290" s="3"/>
      <c r="G290" s="8"/>
      <c r="H290" s="8"/>
      <c r="I290" s="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24" customHeight="1" x14ac:dyDescent="0.25">
      <c r="A291" s="3"/>
      <c r="B291" s="8"/>
      <c r="C291" s="8"/>
      <c r="D291" s="8"/>
      <c r="E291" s="3"/>
      <c r="F291" s="3"/>
      <c r="G291" s="8"/>
      <c r="H291" s="8"/>
      <c r="I291" s="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24" customHeight="1" x14ac:dyDescent="0.25">
      <c r="A292" s="3"/>
      <c r="B292" s="8"/>
      <c r="C292" s="8"/>
      <c r="D292" s="8"/>
      <c r="E292" s="3"/>
      <c r="F292" s="3"/>
      <c r="G292" s="8"/>
      <c r="H292" s="8"/>
      <c r="I292" s="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24" customHeight="1" x14ac:dyDescent="0.25">
      <c r="A293" s="3"/>
      <c r="B293" s="8"/>
      <c r="C293" s="8"/>
      <c r="D293" s="8"/>
      <c r="E293" s="3"/>
      <c r="F293" s="3"/>
      <c r="G293" s="8"/>
      <c r="H293" s="8"/>
      <c r="I293" s="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24" customHeight="1" x14ac:dyDescent="0.25">
      <c r="A294" s="3"/>
      <c r="B294" s="8"/>
      <c r="C294" s="8"/>
      <c r="D294" s="8"/>
      <c r="E294" s="3"/>
      <c r="F294" s="3"/>
      <c r="G294" s="8"/>
      <c r="H294" s="8"/>
      <c r="I294" s="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24" customHeight="1" x14ac:dyDescent="0.25">
      <c r="A295" s="3"/>
      <c r="B295" s="8"/>
      <c r="C295" s="8"/>
      <c r="D295" s="8"/>
      <c r="E295" s="3"/>
      <c r="F295" s="3"/>
      <c r="G295" s="8"/>
      <c r="H295" s="8"/>
      <c r="I295" s="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24" customHeight="1" x14ac:dyDescent="0.25">
      <c r="A296" s="3"/>
      <c r="B296" s="8"/>
      <c r="C296" s="8"/>
      <c r="D296" s="8"/>
      <c r="E296" s="3"/>
      <c r="F296" s="3"/>
      <c r="G296" s="8"/>
      <c r="H296" s="8"/>
      <c r="I296" s="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24" customHeight="1" x14ac:dyDescent="0.25">
      <c r="A297" s="3"/>
      <c r="B297" s="8"/>
      <c r="C297" s="8"/>
      <c r="D297" s="8"/>
      <c r="E297" s="3"/>
      <c r="F297" s="3"/>
      <c r="G297" s="8"/>
      <c r="H297" s="8"/>
      <c r="I297" s="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24" customHeight="1" x14ac:dyDescent="0.25">
      <c r="A298" s="3"/>
      <c r="B298" s="8"/>
      <c r="C298" s="8"/>
      <c r="D298" s="8"/>
      <c r="E298" s="3"/>
      <c r="F298" s="3"/>
      <c r="G298" s="8"/>
      <c r="H298" s="8"/>
      <c r="I298" s="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24" customHeight="1" x14ac:dyDescent="0.25">
      <c r="A299" s="3"/>
      <c r="B299" s="8"/>
      <c r="C299" s="8"/>
      <c r="D299" s="8"/>
      <c r="E299" s="3"/>
      <c r="F299" s="3"/>
      <c r="G299" s="8"/>
      <c r="H299" s="8"/>
      <c r="I299" s="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24" customHeight="1" x14ac:dyDescent="0.25">
      <c r="A300" s="3"/>
      <c r="B300" s="8"/>
      <c r="C300" s="8"/>
      <c r="D300" s="8"/>
      <c r="E300" s="3"/>
      <c r="F300" s="3"/>
      <c r="G300" s="8"/>
      <c r="H300" s="8"/>
      <c r="I300" s="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24" customHeight="1" x14ac:dyDescent="0.25">
      <c r="A301" s="3"/>
      <c r="B301" s="8"/>
      <c r="C301" s="8"/>
      <c r="D301" s="8"/>
      <c r="E301" s="3"/>
      <c r="F301" s="3"/>
      <c r="G301" s="8"/>
      <c r="H301" s="8"/>
      <c r="I301" s="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24" customHeight="1" x14ac:dyDescent="0.25">
      <c r="A302" s="3"/>
      <c r="B302" s="8"/>
      <c r="C302" s="8"/>
      <c r="D302" s="8"/>
      <c r="E302" s="3"/>
      <c r="F302" s="3"/>
      <c r="G302" s="8"/>
      <c r="H302" s="8"/>
      <c r="I302" s="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24" customHeight="1" x14ac:dyDescent="0.25">
      <c r="A303" s="3"/>
      <c r="B303" s="8"/>
      <c r="C303" s="8"/>
      <c r="D303" s="8"/>
      <c r="E303" s="3"/>
      <c r="F303" s="3"/>
      <c r="G303" s="8"/>
      <c r="H303" s="8"/>
      <c r="I303" s="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24" customHeight="1" x14ac:dyDescent="0.25">
      <c r="A304" s="3"/>
      <c r="B304" s="8"/>
      <c r="C304" s="8"/>
      <c r="D304" s="8"/>
      <c r="E304" s="3"/>
      <c r="F304" s="3"/>
      <c r="G304" s="8"/>
      <c r="H304" s="8"/>
      <c r="I304" s="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24" customHeight="1" x14ac:dyDescent="0.25">
      <c r="A305" s="3"/>
      <c r="B305" s="8"/>
      <c r="C305" s="8"/>
      <c r="D305" s="8"/>
      <c r="E305" s="3"/>
      <c r="F305" s="3"/>
      <c r="G305" s="8"/>
      <c r="H305" s="8"/>
      <c r="I305" s="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24" customHeight="1" x14ac:dyDescent="0.25">
      <c r="A306" s="3"/>
      <c r="B306" s="8"/>
      <c r="C306" s="8"/>
      <c r="D306" s="8"/>
      <c r="E306" s="3"/>
      <c r="F306" s="3"/>
      <c r="G306" s="8"/>
      <c r="H306" s="8"/>
      <c r="I306" s="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24" customHeight="1" x14ac:dyDescent="0.25">
      <c r="A307" s="3"/>
      <c r="B307" s="8"/>
      <c r="C307" s="8"/>
      <c r="D307" s="8"/>
      <c r="E307" s="3"/>
      <c r="F307" s="3"/>
      <c r="G307" s="8"/>
      <c r="H307" s="8"/>
      <c r="I307" s="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24" customHeight="1" x14ac:dyDescent="0.25">
      <c r="A308" s="3"/>
      <c r="B308" s="8"/>
      <c r="C308" s="8"/>
      <c r="D308" s="8"/>
      <c r="E308" s="3"/>
      <c r="F308" s="3"/>
      <c r="G308" s="8"/>
      <c r="H308" s="8"/>
      <c r="I308" s="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24" customHeight="1" x14ac:dyDescent="0.25">
      <c r="A309" s="3"/>
      <c r="B309" s="8"/>
      <c r="C309" s="8"/>
      <c r="D309" s="8"/>
      <c r="E309" s="3"/>
      <c r="F309" s="3"/>
      <c r="G309" s="8"/>
      <c r="H309" s="8"/>
      <c r="I309" s="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24" customHeight="1" x14ac:dyDescent="0.25">
      <c r="A310" s="3"/>
      <c r="B310" s="8"/>
      <c r="C310" s="8"/>
      <c r="D310" s="8"/>
      <c r="E310" s="3"/>
      <c r="F310" s="3"/>
      <c r="G310" s="8"/>
      <c r="H310" s="8"/>
      <c r="I310" s="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24" customHeight="1" x14ac:dyDescent="0.25">
      <c r="A311" s="3"/>
      <c r="B311" s="8"/>
      <c r="C311" s="8"/>
      <c r="D311" s="8"/>
      <c r="E311" s="3"/>
      <c r="F311" s="3"/>
      <c r="G311" s="8"/>
      <c r="H311" s="8"/>
      <c r="I311" s="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24" customHeight="1" x14ac:dyDescent="0.25">
      <c r="A312" s="3"/>
      <c r="B312" s="8"/>
      <c r="C312" s="8"/>
      <c r="D312" s="8"/>
      <c r="E312" s="3"/>
      <c r="F312" s="3"/>
      <c r="G312" s="8"/>
      <c r="H312" s="8"/>
      <c r="I312" s="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24" customHeight="1" x14ac:dyDescent="0.25">
      <c r="A313" s="3"/>
      <c r="B313" s="8"/>
      <c r="C313" s="8"/>
      <c r="D313" s="8"/>
      <c r="E313" s="3"/>
      <c r="F313" s="3"/>
      <c r="G313" s="8"/>
      <c r="H313" s="8"/>
      <c r="I313" s="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24" customHeight="1" x14ac:dyDescent="0.25">
      <c r="A314" s="3"/>
      <c r="B314" s="8"/>
      <c r="C314" s="8"/>
      <c r="D314" s="8"/>
      <c r="E314" s="3"/>
      <c r="F314" s="3"/>
      <c r="G314" s="8"/>
      <c r="H314" s="8"/>
      <c r="I314" s="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24" customHeight="1" x14ac:dyDescent="0.25">
      <c r="A315" s="3"/>
      <c r="B315" s="8"/>
      <c r="C315" s="8"/>
      <c r="D315" s="8"/>
      <c r="E315" s="3"/>
      <c r="F315" s="3"/>
      <c r="G315" s="8"/>
      <c r="H315" s="8"/>
      <c r="I315" s="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24" customHeight="1" x14ac:dyDescent="0.25">
      <c r="A316" s="3"/>
      <c r="B316" s="8"/>
      <c r="C316" s="8"/>
      <c r="D316" s="8"/>
      <c r="E316" s="3"/>
      <c r="F316" s="3"/>
      <c r="G316" s="8"/>
      <c r="H316" s="8"/>
      <c r="I316" s="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24" customHeight="1" x14ac:dyDescent="0.25">
      <c r="A317" s="3"/>
      <c r="B317" s="8"/>
      <c r="C317" s="8"/>
      <c r="D317" s="8"/>
      <c r="E317" s="3"/>
      <c r="F317" s="3"/>
      <c r="G317" s="8"/>
      <c r="H317" s="8"/>
      <c r="I317" s="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24" customHeight="1" x14ac:dyDescent="0.25">
      <c r="A318" s="3"/>
      <c r="B318" s="8"/>
      <c r="C318" s="8"/>
      <c r="D318" s="8"/>
      <c r="E318" s="3"/>
      <c r="F318" s="3"/>
      <c r="G318" s="8"/>
      <c r="H318" s="8"/>
      <c r="I318" s="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24" customHeight="1" x14ac:dyDescent="0.25">
      <c r="A319" s="3"/>
      <c r="B319" s="8"/>
      <c r="C319" s="8"/>
      <c r="D319" s="8"/>
      <c r="E319" s="3"/>
      <c r="F319" s="3"/>
      <c r="G319" s="8"/>
      <c r="H319" s="8"/>
      <c r="I319" s="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24" customHeight="1" x14ac:dyDescent="0.25">
      <c r="A320" s="3"/>
      <c r="B320" s="8"/>
      <c r="C320" s="8"/>
      <c r="D320" s="8"/>
      <c r="E320" s="3"/>
      <c r="F320" s="3"/>
      <c r="G320" s="8"/>
      <c r="H320" s="8"/>
      <c r="I320" s="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24" customHeight="1" x14ac:dyDescent="0.25">
      <c r="A321" s="3"/>
      <c r="B321" s="8"/>
      <c r="C321" s="8"/>
      <c r="D321" s="8"/>
      <c r="E321" s="3"/>
      <c r="F321" s="3"/>
      <c r="G321" s="8"/>
      <c r="H321" s="8"/>
      <c r="I321" s="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24" customHeight="1" x14ac:dyDescent="0.25">
      <c r="A322" s="3"/>
      <c r="B322" s="8"/>
      <c r="C322" s="8"/>
      <c r="D322" s="8"/>
      <c r="E322" s="3"/>
      <c r="F322" s="3"/>
      <c r="G322" s="8"/>
      <c r="H322" s="8"/>
      <c r="I322" s="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24" customHeight="1" x14ac:dyDescent="0.25">
      <c r="A323" s="3"/>
      <c r="B323" s="8"/>
      <c r="C323" s="8"/>
      <c r="D323" s="8"/>
      <c r="E323" s="3"/>
      <c r="F323" s="3"/>
      <c r="G323" s="8"/>
      <c r="H323" s="8"/>
      <c r="I323" s="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24" customHeight="1" x14ac:dyDescent="0.25">
      <c r="A324" s="3"/>
      <c r="B324" s="8"/>
      <c r="C324" s="8"/>
      <c r="D324" s="8"/>
      <c r="E324" s="3"/>
      <c r="F324" s="3"/>
      <c r="G324" s="8"/>
      <c r="H324" s="8"/>
      <c r="I324" s="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24" customHeight="1" x14ac:dyDescent="0.25">
      <c r="A325" s="3"/>
      <c r="B325" s="8"/>
      <c r="C325" s="8"/>
      <c r="D325" s="8"/>
      <c r="E325" s="3"/>
      <c r="F325" s="3"/>
      <c r="G325" s="8"/>
      <c r="H325" s="8"/>
      <c r="I325" s="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24" customHeight="1" x14ac:dyDescent="0.25">
      <c r="A326" s="3"/>
      <c r="B326" s="8"/>
      <c r="C326" s="8"/>
      <c r="D326" s="8"/>
      <c r="E326" s="3"/>
      <c r="F326" s="3"/>
      <c r="G326" s="8"/>
      <c r="H326" s="8"/>
      <c r="I326" s="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24" customHeight="1" x14ac:dyDescent="0.25">
      <c r="A327" s="3"/>
      <c r="B327" s="8"/>
      <c r="C327" s="8"/>
      <c r="D327" s="8"/>
      <c r="E327" s="3"/>
      <c r="F327" s="3"/>
      <c r="G327" s="8"/>
      <c r="H327" s="8"/>
      <c r="I327" s="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24" customHeight="1" x14ac:dyDescent="0.25">
      <c r="A328" s="3"/>
      <c r="B328" s="8"/>
      <c r="C328" s="8"/>
      <c r="D328" s="8"/>
      <c r="E328" s="3"/>
      <c r="F328" s="3"/>
      <c r="G328" s="8"/>
      <c r="H328" s="8"/>
      <c r="I328" s="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24" customHeight="1" x14ac:dyDescent="0.25">
      <c r="A329" s="3"/>
      <c r="B329" s="8"/>
      <c r="C329" s="8"/>
      <c r="D329" s="8"/>
      <c r="E329" s="3"/>
      <c r="F329" s="3"/>
      <c r="G329" s="8"/>
      <c r="H329" s="8"/>
      <c r="I329" s="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24" customHeight="1" x14ac:dyDescent="0.25">
      <c r="A330" s="3"/>
      <c r="B330" s="8"/>
      <c r="C330" s="8"/>
      <c r="D330" s="8"/>
      <c r="E330" s="3"/>
      <c r="F330" s="3"/>
      <c r="G330" s="8"/>
      <c r="H330" s="8"/>
      <c r="I330" s="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24" customHeight="1" x14ac:dyDescent="0.25">
      <c r="A331" s="3"/>
      <c r="B331" s="8"/>
      <c r="C331" s="8"/>
      <c r="D331" s="8"/>
      <c r="E331" s="3"/>
      <c r="F331" s="3"/>
      <c r="G331" s="8"/>
      <c r="H331" s="8"/>
      <c r="I331" s="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24" customHeight="1" x14ac:dyDescent="0.25">
      <c r="A332" s="3"/>
      <c r="B332" s="8"/>
      <c r="C332" s="8"/>
      <c r="D332" s="8"/>
      <c r="E332" s="3"/>
      <c r="F332" s="3"/>
      <c r="G332" s="8"/>
      <c r="H332" s="8"/>
      <c r="I332" s="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24" customHeight="1" x14ac:dyDescent="0.25">
      <c r="A333" s="3"/>
      <c r="B333" s="8"/>
      <c r="C333" s="8"/>
      <c r="D333" s="8"/>
      <c r="E333" s="3"/>
      <c r="F333" s="3"/>
      <c r="G333" s="8"/>
      <c r="H333" s="8"/>
      <c r="I333" s="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24" customHeight="1" x14ac:dyDescent="0.25">
      <c r="A334" s="3"/>
      <c r="B334" s="8"/>
      <c r="C334" s="8"/>
      <c r="D334" s="8"/>
      <c r="E334" s="3"/>
      <c r="F334" s="3"/>
      <c r="G334" s="8"/>
      <c r="H334" s="8"/>
      <c r="I334" s="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24" customHeight="1" x14ac:dyDescent="0.25">
      <c r="A335" s="3"/>
      <c r="B335" s="8"/>
      <c r="C335" s="8"/>
      <c r="D335" s="8"/>
      <c r="E335" s="3"/>
      <c r="F335" s="3"/>
      <c r="G335" s="8"/>
      <c r="H335" s="8"/>
      <c r="I335" s="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24" customHeight="1" x14ac:dyDescent="0.25">
      <c r="A336" s="3"/>
      <c r="B336" s="8"/>
      <c r="C336" s="8"/>
      <c r="D336" s="8"/>
      <c r="E336" s="3"/>
      <c r="F336" s="3"/>
      <c r="G336" s="8"/>
      <c r="H336" s="8"/>
      <c r="I336" s="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24" customHeight="1" x14ac:dyDescent="0.25">
      <c r="A337" s="3"/>
      <c r="B337" s="8"/>
      <c r="C337" s="8"/>
      <c r="D337" s="8"/>
      <c r="E337" s="3"/>
      <c r="F337" s="3"/>
      <c r="G337" s="8"/>
      <c r="H337" s="8"/>
      <c r="I337" s="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24" customHeight="1" x14ac:dyDescent="0.25">
      <c r="A338" s="3"/>
      <c r="B338" s="8"/>
      <c r="C338" s="8"/>
      <c r="D338" s="8"/>
      <c r="E338" s="3"/>
      <c r="F338" s="3"/>
      <c r="G338" s="8"/>
      <c r="H338" s="8"/>
      <c r="I338" s="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24" customHeight="1" x14ac:dyDescent="0.25">
      <c r="A339" s="3"/>
      <c r="B339" s="8"/>
      <c r="C339" s="8"/>
      <c r="D339" s="8"/>
      <c r="E339" s="3"/>
      <c r="F339" s="3"/>
      <c r="G339" s="8"/>
      <c r="H339" s="8"/>
      <c r="I339" s="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24" customHeight="1" x14ac:dyDescent="0.25">
      <c r="A340" s="3"/>
      <c r="B340" s="8"/>
      <c r="C340" s="8"/>
      <c r="D340" s="8"/>
      <c r="E340" s="3"/>
      <c r="F340" s="3"/>
      <c r="G340" s="8"/>
      <c r="H340" s="8"/>
      <c r="I340" s="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24" customHeight="1" x14ac:dyDescent="0.25">
      <c r="A341" s="3"/>
      <c r="B341" s="8"/>
      <c r="C341" s="8"/>
      <c r="D341" s="8"/>
      <c r="E341" s="3"/>
      <c r="F341" s="3"/>
      <c r="G341" s="8"/>
      <c r="H341" s="8"/>
      <c r="I341" s="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24" customHeight="1" x14ac:dyDescent="0.25">
      <c r="A342" s="3"/>
      <c r="B342" s="8"/>
      <c r="C342" s="8"/>
      <c r="D342" s="8"/>
      <c r="E342" s="3"/>
      <c r="F342" s="3"/>
      <c r="G342" s="8"/>
      <c r="H342" s="8"/>
      <c r="I342" s="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24" customHeight="1" x14ac:dyDescent="0.25">
      <c r="A343" s="3"/>
      <c r="B343" s="8"/>
      <c r="C343" s="8"/>
      <c r="D343" s="8"/>
      <c r="E343" s="3"/>
      <c r="F343" s="3"/>
      <c r="G343" s="8"/>
      <c r="H343" s="8"/>
      <c r="I343" s="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24" customHeight="1" x14ac:dyDescent="0.25">
      <c r="A344" s="3"/>
      <c r="B344" s="8"/>
      <c r="C344" s="8"/>
      <c r="D344" s="8"/>
      <c r="E344" s="3"/>
      <c r="F344" s="3"/>
      <c r="G344" s="8"/>
      <c r="H344" s="8"/>
      <c r="I344" s="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24" customHeight="1" x14ac:dyDescent="0.25">
      <c r="A345" s="3"/>
      <c r="B345" s="8"/>
      <c r="C345" s="8"/>
      <c r="D345" s="8"/>
      <c r="E345" s="3"/>
      <c r="F345" s="3"/>
      <c r="G345" s="8"/>
      <c r="H345" s="8"/>
      <c r="I345" s="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24" customHeight="1" x14ac:dyDescent="0.25">
      <c r="A346" s="3"/>
      <c r="B346" s="8"/>
      <c r="C346" s="8"/>
      <c r="D346" s="8"/>
      <c r="E346" s="3"/>
      <c r="F346" s="3"/>
      <c r="G346" s="8"/>
      <c r="H346" s="8"/>
      <c r="I346" s="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24" customHeight="1" x14ac:dyDescent="0.25">
      <c r="A347" s="3"/>
      <c r="B347" s="8"/>
      <c r="C347" s="8"/>
      <c r="D347" s="8"/>
      <c r="E347" s="3"/>
      <c r="F347" s="3"/>
      <c r="G347" s="8"/>
      <c r="H347" s="8"/>
      <c r="I347" s="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24" customHeight="1" x14ac:dyDescent="0.25">
      <c r="A348" s="3"/>
      <c r="B348" s="8"/>
      <c r="C348" s="8"/>
      <c r="D348" s="8"/>
      <c r="E348" s="3"/>
      <c r="F348" s="3"/>
      <c r="G348" s="8"/>
      <c r="H348" s="8"/>
      <c r="I348" s="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24" customHeight="1" x14ac:dyDescent="0.25">
      <c r="A349" s="3"/>
      <c r="B349" s="8"/>
      <c r="C349" s="8"/>
      <c r="D349" s="8"/>
      <c r="E349" s="3"/>
      <c r="F349" s="3"/>
      <c r="G349" s="8"/>
      <c r="H349" s="8"/>
      <c r="I349" s="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24" customHeight="1" x14ac:dyDescent="0.25">
      <c r="A350" s="3"/>
      <c r="B350" s="8"/>
      <c r="C350" s="8"/>
      <c r="D350" s="8"/>
      <c r="E350" s="3"/>
      <c r="F350" s="3"/>
      <c r="G350" s="8"/>
      <c r="H350" s="8"/>
      <c r="I350" s="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24" customHeight="1" x14ac:dyDescent="0.25">
      <c r="A351" s="3"/>
      <c r="B351" s="8"/>
      <c r="C351" s="8"/>
      <c r="D351" s="8"/>
      <c r="E351" s="3"/>
      <c r="F351" s="3"/>
      <c r="G351" s="8"/>
      <c r="H351" s="8"/>
      <c r="I351" s="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24" customHeight="1" x14ac:dyDescent="0.25">
      <c r="A352" s="3"/>
      <c r="B352" s="8"/>
      <c r="C352" s="8"/>
      <c r="D352" s="8"/>
      <c r="E352" s="3"/>
      <c r="F352" s="3"/>
      <c r="G352" s="8"/>
      <c r="H352" s="8"/>
      <c r="I352" s="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24" customHeight="1" x14ac:dyDescent="0.25">
      <c r="A353" s="3"/>
      <c r="B353" s="8"/>
      <c r="C353" s="8"/>
      <c r="D353" s="8"/>
      <c r="E353" s="3"/>
      <c r="F353" s="3"/>
      <c r="G353" s="8"/>
      <c r="H353" s="8"/>
      <c r="I353" s="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24" customHeight="1" x14ac:dyDescent="0.25">
      <c r="A354" s="3"/>
      <c r="B354" s="8"/>
      <c r="C354" s="8"/>
      <c r="D354" s="8"/>
      <c r="E354" s="3"/>
      <c r="F354" s="3"/>
      <c r="G354" s="8"/>
      <c r="H354" s="8"/>
      <c r="I354" s="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24" customHeight="1" x14ac:dyDescent="0.25">
      <c r="A355" s="3"/>
      <c r="B355" s="8"/>
      <c r="C355" s="8"/>
      <c r="D355" s="8"/>
      <c r="E355" s="3"/>
      <c r="F355" s="3"/>
      <c r="G355" s="8"/>
      <c r="H355" s="8"/>
      <c r="I355" s="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24" customHeight="1" x14ac:dyDescent="0.25">
      <c r="A356" s="3"/>
      <c r="B356" s="8"/>
      <c r="C356" s="8"/>
      <c r="D356" s="8"/>
      <c r="E356" s="3"/>
      <c r="F356" s="3"/>
      <c r="G356" s="8"/>
      <c r="H356" s="8"/>
      <c r="I356" s="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24" customHeight="1" x14ac:dyDescent="0.25">
      <c r="A357" s="3"/>
      <c r="B357" s="8"/>
      <c r="C357" s="8"/>
      <c r="D357" s="8"/>
      <c r="E357" s="3"/>
      <c r="F357" s="3"/>
      <c r="G357" s="8"/>
      <c r="H357" s="8"/>
      <c r="I357" s="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24" customHeight="1" x14ac:dyDescent="0.25">
      <c r="A358" s="3"/>
      <c r="B358" s="8"/>
      <c r="C358" s="8"/>
      <c r="D358" s="8"/>
      <c r="E358" s="3"/>
      <c r="F358" s="3"/>
      <c r="G358" s="8"/>
      <c r="H358" s="8"/>
      <c r="I358" s="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24" customHeight="1" x14ac:dyDescent="0.25">
      <c r="A359" s="3"/>
      <c r="B359" s="8"/>
      <c r="C359" s="8"/>
      <c r="D359" s="8"/>
      <c r="E359" s="3"/>
      <c r="F359" s="3"/>
      <c r="G359" s="8"/>
      <c r="H359" s="8"/>
      <c r="I359" s="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24" customHeight="1" x14ac:dyDescent="0.25">
      <c r="A360" s="3"/>
      <c r="B360" s="8"/>
      <c r="C360" s="8"/>
      <c r="D360" s="8"/>
      <c r="E360" s="3"/>
      <c r="F360" s="3"/>
      <c r="G360" s="8"/>
      <c r="H360" s="8"/>
      <c r="I360" s="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24" customHeight="1" x14ac:dyDescent="0.25">
      <c r="A361" s="3"/>
      <c r="B361" s="8"/>
      <c r="C361" s="8"/>
      <c r="D361" s="8"/>
      <c r="E361" s="3"/>
      <c r="F361" s="3"/>
      <c r="G361" s="8"/>
      <c r="H361" s="8"/>
      <c r="I361" s="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24" customHeight="1" x14ac:dyDescent="0.25">
      <c r="A362" s="3"/>
      <c r="B362" s="8"/>
      <c r="C362" s="8"/>
      <c r="D362" s="8"/>
      <c r="E362" s="3"/>
      <c r="F362" s="3"/>
      <c r="G362" s="8"/>
      <c r="H362" s="8"/>
      <c r="I362" s="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24" customHeight="1" x14ac:dyDescent="0.25">
      <c r="A363" s="3"/>
      <c r="B363" s="8"/>
      <c r="C363" s="8"/>
      <c r="D363" s="8"/>
      <c r="E363" s="3"/>
      <c r="F363" s="3"/>
      <c r="G363" s="8"/>
      <c r="H363" s="8"/>
      <c r="I363" s="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24" customHeight="1" x14ac:dyDescent="0.25">
      <c r="A364" s="3"/>
      <c r="B364" s="8"/>
      <c r="C364" s="8"/>
      <c r="D364" s="8"/>
      <c r="E364" s="3"/>
      <c r="F364" s="3"/>
      <c r="G364" s="8"/>
      <c r="H364" s="8"/>
      <c r="I364" s="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24" customHeight="1" x14ac:dyDescent="0.25">
      <c r="A365" s="3"/>
      <c r="B365" s="8"/>
      <c r="C365" s="8"/>
      <c r="D365" s="8"/>
      <c r="E365" s="3"/>
      <c r="F365" s="3"/>
      <c r="G365" s="8"/>
      <c r="H365" s="8"/>
      <c r="I365" s="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24" customHeight="1" x14ac:dyDescent="0.25">
      <c r="A366" s="3"/>
      <c r="B366" s="8"/>
      <c r="C366" s="8"/>
      <c r="D366" s="8"/>
      <c r="E366" s="3"/>
      <c r="F366" s="3"/>
      <c r="G366" s="8"/>
      <c r="H366" s="8"/>
      <c r="I366" s="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24" customHeight="1" x14ac:dyDescent="0.25">
      <c r="A367" s="3"/>
      <c r="B367" s="8"/>
      <c r="C367" s="8"/>
      <c r="D367" s="8"/>
      <c r="E367" s="3"/>
      <c r="F367" s="3"/>
      <c r="G367" s="8"/>
      <c r="H367" s="8"/>
      <c r="I367" s="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24" customHeight="1" x14ac:dyDescent="0.25">
      <c r="A368" s="3"/>
      <c r="B368" s="8"/>
      <c r="C368" s="8"/>
      <c r="D368" s="8"/>
      <c r="E368" s="3"/>
      <c r="F368" s="3"/>
      <c r="G368" s="8"/>
      <c r="H368" s="8"/>
      <c r="I368" s="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24" customHeight="1" x14ac:dyDescent="0.25">
      <c r="A369" s="3"/>
      <c r="B369" s="8"/>
      <c r="C369" s="8"/>
      <c r="D369" s="8"/>
      <c r="E369" s="3"/>
      <c r="F369" s="3"/>
      <c r="G369" s="8"/>
      <c r="H369" s="8"/>
      <c r="I369" s="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24" customHeight="1" x14ac:dyDescent="0.25">
      <c r="A370" s="3"/>
      <c r="B370" s="8"/>
      <c r="C370" s="8"/>
      <c r="D370" s="8"/>
      <c r="E370" s="3"/>
      <c r="F370" s="3"/>
      <c r="G370" s="8"/>
      <c r="H370" s="8"/>
      <c r="I370" s="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24" customHeight="1" x14ac:dyDescent="0.25">
      <c r="A371" s="3"/>
      <c r="B371" s="8"/>
      <c r="C371" s="8"/>
      <c r="D371" s="8"/>
      <c r="E371" s="3"/>
      <c r="F371" s="3"/>
      <c r="G371" s="8"/>
      <c r="H371" s="8"/>
      <c r="I371" s="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24" customHeight="1" x14ac:dyDescent="0.25">
      <c r="A372" s="3"/>
      <c r="B372" s="8"/>
      <c r="C372" s="8"/>
      <c r="D372" s="8"/>
      <c r="E372" s="3"/>
      <c r="F372" s="3"/>
      <c r="G372" s="8"/>
      <c r="H372" s="8"/>
      <c r="I372" s="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24" customHeight="1" x14ac:dyDescent="0.25">
      <c r="A373" s="3"/>
      <c r="B373" s="8"/>
      <c r="C373" s="8"/>
      <c r="D373" s="8"/>
      <c r="E373" s="3"/>
      <c r="F373" s="3"/>
      <c r="G373" s="8"/>
      <c r="H373" s="8"/>
      <c r="I373" s="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24" customHeight="1" x14ac:dyDescent="0.25">
      <c r="A374" s="3"/>
      <c r="B374" s="8"/>
      <c r="C374" s="8"/>
      <c r="D374" s="8"/>
      <c r="E374" s="3"/>
      <c r="F374" s="3"/>
      <c r="G374" s="8"/>
      <c r="H374" s="8"/>
      <c r="I374" s="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24" customHeight="1" x14ac:dyDescent="0.25">
      <c r="A375" s="3"/>
      <c r="B375" s="8"/>
      <c r="C375" s="8"/>
      <c r="D375" s="8"/>
      <c r="E375" s="3"/>
      <c r="F375" s="3"/>
      <c r="G375" s="8"/>
      <c r="H375" s="8"/>
      <c r="I375" s="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24" customHeight="1" x14ac:dyDescent="0.25">
      <c r="A376" s="3"/>
      <c r="B376" s="8"/>
      <c r="C376" s="8"/>
      <c r="D376" s="8"/>
      <c r="E376" s="3"/>
      <c r="F376" s="3"/>
      <c r="G376" s="8"/>
      <c r="H376" s="8"/>
      <c r="I376" s="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24" customHeight="1" x14ac:dyDescent="0.25">
      <c r="A377" s="3"/>
      <c r="B377" s="8"/>
      <c r="C377" s="8"/>
      <c r="D377" s="8"/>
      <c r="E377" s="3"/>
      <c r="F377" s="3"/>
      <c r="G377" s="8"/>
      <c r="H377" s="8"/>
      <c r="I377" s="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24" customHeight="1" x14ac:dyDescent="0.25">
      <c r="A378" s="3"/>
      <c r="B378" s="8"/>
      <c r="C378" s="8"/>
      <c r="D378" s="8"/>
      <c r="E378" s="3"/>
      <c r="F378" s="3"/>
      <c r="G378" s="8"/>
      <c r="H378" s="8"/>
      <c r="I378" s="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24" customHeight="1" x14ac:dyDescent="0.25">
      <c r="A379" s="3"/>
      <c r="B379" s="8"/>
      <c r="C379" s="8"/>
      <c r="D379" s="8"/>
      <c r="E379" s="3"/>
      <c r="F379" s="3"/>
      <c r="G379" s="8"/>
      <c r="H379" s="8"/>
      <c r="I379" s="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24" customHeight="1" x14ac:dyDescent="0.25">
      <c r="A380" s="3"/>
      <c r="B380" s="8"/>
      <c r="C380" s="8"/>
      <c r="D380" s="8"/>
      <c r="E380" s="3"/>
      <c r="F380" s="3"/>
      <c r="G380" s="8"/>
      <c r="H380" s="8"/>
      <c r="I380" s="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24" customHeight="1" x14ac:dyDescent="0.25">
      <c r="A381" s="3"/>
      <c r="B381" s="8"/>
      <c r="C381" s="8"/>
      <c r="D381" s="8"/>
      <c r="E381" s="3"/>
      <c r="F381" s="3"/>
      <c r="G381" s="8"/>
      <c r="H381" s="8"/>
      <c r="I381" s="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24" customHeight="1" x14ac:dyDescent="0.25">
      <c r="A382" s="3"/>
      <c r="B382" s="8"/>
      <c r="C382" s="8"/>
      <c r="D382" s="8"/>
      <c r="E382" s="3"/>
      <c r="F382" s="3"/>
      <c r="G382" s="8"/>
      <c r="H382" s="8"/>
      <c r="I382" s="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24" customHeight="1" x14ac:dyDescent="0.25">
      <c r="A383" s="3"/>
      <c r="B383" s="8"/>
      <c r="C383" s="8"/>
      <c r="D383" s="8"/>
      <c r="E383" s="3"/>
      <c r="F383" s="3"/>
      <c r="G383" s="8"/>
      <c r="H383" s="8"/>
      <c r="I383" s="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24" customHeight="1" x14ac:dyDescent="0.25">
      <c r="A384" s="3"/>
      <c r="B384" s="8"/>
      <c r="C384" s="8"/>
      <c r="D384" s="8"/>
      <c r="E384" s="3"/>
      <c r="F384" s="3"/>
      <c r="G384" s="8"/>
      <c r="H384" s="8"/>
      <c r="I384" s="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24" customHeight="1" x14ac:dyDescent="0.25">
      <c r="A385" s="3"/>
      <c r="B385" s="8"/>
      <c r="C385" s="8"/>
      <c r="D385" s="8"/>
      <c r="E385" s="3"/>
      <c r="F385" s="3"/>
      <c r="G385" s="8"/>
      <c r="H385" s="8"/>
      <c r="I385" s="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24" customHeight="1" x14ac:dyDescent="0.25">
      <c r="A386" s="3"/>
      <c r="B386" s="8"/>
      <c r="C386" s="8"/>
      <c r="D386" s="8"/>
      <c r="E386" s="3"/>
      <c r="F386" s="3"/>
      <c r="G386" s="8"/>
      <c r="H386" s="8"/>
      <c r="I386" s="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24" customHeight="1" x14ac:dyDescent="0.25">
      <c r="A387" s="3"/>
      <c r="B387" s="8"/>
      <c r="C387" s="8"/>
      <c r="D387" s="8"/>
      <c r="E387" s="3"/>
      <c r="F387" s="3"/>
      <c r="G387" s="8"/>
      <c r="H387" s="8"/>
      <c r="I387" s="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24" customHeight="1" x14ac:dyDescent="0.25">
      <c r="A388" s="3"/>
      <c r="B388" s="8"/>
      <c r="C388" s="8"/>
      <c r="D388" s="8"/>
      <c r="E388" s="3"/>
      <c r="F388" s="3"/>
      <c r="G388" s="8"/>
      <c r="H388" s="8"/>
      <c r="I388" s="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24" customHeight="1" x14ac:dyDescent="0.25">
      <c r="A389" s="3"/>
      <c r="B389" s="8"/>
      <c r="C389" s="8"/>
      <c r="D389" s="8"/>
      <c r="E389" s="3"/>
      <c r="F389" s="3"/>
      <c r="G389" s="8"/>
      <c r="H389" s="8"/>
      <c r="I389" s="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24" customHeight="1" x14ac:dyDescent="0.25">
      <c r="A390" s="3"/>
      <c r="B390" s="8"/>
      <c r="C390" s="8"/>
      <c r="D390" s="8"/>
      <c r="E390" s="3"/>
      <c r="F390" s="3"/>
      <c r="G390" s="8"/>
      <c r="H390" s="8"/>
      <c r="I390" s="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24" customHeight="1" x14ac:dyDescent="0.25">
      <c r="A391" s="3"/>
      <c r="B391" s="8"/>
      <c r="C391" s="8"/>
      <c r="D391" s="8"/>
      <c r="E391" s="3"/>
      <c r="F391" s="3"/>
      <c r="G391" s="8"/>
      <c r="H391" s="8"/>
      <c r="I391" s="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24" customHeight="1" x14ac:dyDescent="0.25">
      <c r="A392" s="3"/>
      <c r="B392" s="8"/>
      <c r="C392" s="8"/>
      <c r="D392" s="8"/>
      <c r="E392" s="3"/>
      <c r="F392" s="3"/>
      <c r="G392" s="8"/>
      <c r="H392" s="8"/>
      <c r="I392" s="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24" customHeight="1" x14ac:dyDescent="0.25">
      <c r="A393" s="3"/>
      <c r="B393" s="8"/>
      <c r="C393" s="8"/>
      <c r="D393" s="8"/>
      <c r="E393" s="3"/>
      <c r="F393" s="3"/>
      <c r="G393" s="8"/>
      <c r="H393" s="8"/>
      <c r="I393" s="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24" customHeight="1" x14ac:dyDescent="0.25">
      <c r="A394" s="3"/>
      <c r="B394" s="8"/>
      <c r="C394" s="8"/>
      <c r="D394" s="8"/>
      <c r="E394" s="3"/>
      <c r="F394" s="3"/>
      <c r="G394" s="8"/>
      <c r="H394" s="8"/>
      <c r="I394" s="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24" customHeight="1" x14ac:dyDescent="0.25">
      <c r="A395" s="3"/>
      <c r="B395" s="8"/>
      <c r="C395" s="8"/>
      <c r="D395" s="8"/>
      <c r="E395" s="3"/>
      <c r="F395" s="3"/>
      <c r="G395" s="8"/>
      <c r="H395" s="8"/>
      <c r="I395" s="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24" customHeight="1" x14ac:dyDescent="0.25">
      <c r="A396" s="3"/>
      <c r="B396" s="8"/>
      <c r="C396" s="8"/>
      <c r="D396" s="8"/>
      <c r="E396" s="3"/>
      <c r="F396" s="3"/>
      <c r="G396" s="8"/>
      <c r="H396" s="8"/>
      <c r="I396" s="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24" customHeight="1" x14ac:dyDescent="0.25">
      <c r="A397" s="3"/>
      <c r="B397" s="8"/>
      <c r="C397" s="8"/>
      <c r="D397" s="8"/>
      <c r="E397" s="3"/>
      <c r="F397" s="3"/>
      <c r="G397" s="8"/>
      <c r="H397" s="8"/>
      <c r="I397" s="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24" customHeight="1" x14ac:dyDescent="0.25">
      <c r="A398" s="3"/>
      <c r="B398" s="8"/>
      <c r="C398" s="8"/>
      <c r="D398" s="8"/>
      <c r="E398" s="3"/>
      <c r="F398" s="3"/>
      <c r="G398" s="8"/>
      <c r="H398" s="8"/>
      <c r="I398" s="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24" customHeight="1" x14ac:dyDescent="0.25">
      <c r="A399" s="3"/>
      <c r="B399" s="8"/>
      <c r="C399" s="8"/>
      <c r="D399" s="8"/>
      <c r="E399" s="3"/>
      <c r="F399" s="3"/>
      <c r="G399" s="8"/>
      <c r="H399" s="8"/>
      <c r="I399" s="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24" customHeight="1" x14ac:dyDescent="0.25">
      <c r="A400" s="3"/>
      <c r="B400" s="8"/>
      <c r="C400" s="8"/>
      <c r="D400" s="8"/>
      <c r="E400" s="3"/>
      <c r="F400" s="3"/>
      <c r="G400" s="8"/>
      <c r="H400" s="8"/>
      <c r="I400" s="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24" customHeight="1" x14ac:dyDescent="0.25">
      <c r="A401" s="3"/>
      <c r="B401" s="8"/>
      <c r="C401" s="8"/>
      <c r="D401" s="8"/>
      <c r="E401" s="3"/>
      <c r="F401" s="3"/>
      <c r="G401" s="8"/>
      <c r="H401" s="8"/>
      <c r="I401" s="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24" customHeight="1" x14ac:dyDescent="0.25">
      <c r="A402" s="3"/>
      <c r="B402" s="8"/>
      <c r="C402" s="8"/>
      <c r="D402" s="8"/>
      <c r="E402" s="3"/>
      <c r="F402" s="3"/>
      <c r="G402" s="8"/>
      <c r="H402" s="8"/>
      <c r="I402" s="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24" customHeight="1" x14ac:dyDescent="0.25">
      <c r="A403" s="3"/>
      <c r="B403" s="8"/>
      <c r="C403" s="8"/>
      <c r="D403" s="8"/>
      <c r="E403" s="3"/>
      <c r="F403" s="3"/>
      <c r="G403" s="8"/>
      <c r="H403" s="8"/>
      <c r="I403" s="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24" customHeight="1" x14ac:dyDescent="0.25">
      <c r="A404" s="3"/>
      <c r="B404" s="8"/>
      <c r="C404" s="8"/>
      <c r="D404" s="8"/>
      <c r="E404" s="3"/>
      <c r="F404" s="3"/>
      <c r="G404" s="8"/>
      <c r="H404" s="8"/>
      <c r="I404" s="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24" customHeight="1" x14ac:dyDescent="0.25">
      <c r="A405" s="3"/>
      <c r="B405" s="8"/>
      <c r="C405" s="8"/>
      <c r="D405" s="8"/>
      <c r="E405" s="3"/>
      <c r="F405" s="3"/>
      <c r="G405" s="8"/>
      <c r="H405" s="8"/>
      <c r="I405" s="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24" customHeight="1" x14ac:dyDescent="0.25">
      <c r="A406" s="3"/>
      <c r="B406" s="8"/>
      <c r="C406" s="8"/>
      <c r="D406" s="8"/>
      <c r="E406" s="3"/>
      <c r="F406" s="3"/>
      <c r="G406" s="8"/>
      <c r="H406" s="8"/>
      <c r="I406" s="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24" customHeight="1" x14ac:dyDescent="0.25">
      <c r="A407" s="3"/>
      <c r="B407" s="8"/>
      <c r="C407" s="8"/>
      <c r="D407" s="8"/>
      <c r="E407" s="3"/>
      <c r="F407" s="3"/>
      <c r="G407" s="8"/>
      <c r="H407" s="8"/>
      <c r="I407" s="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24" customHeight="1" x14ac:dyDescent="0.25">
      <c r="A408" s="3"/>
      <c r="B408" s="8"/>
      <c r="C408" s="8"/>
      <c r="D408" s="8"/>
      <c r="E408" s="3"/>
      <c r="F408" s="3"/>
      <c r="G408" s="8"/>
      <c r="H408" s="8"/>
      <c r="I408" s="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24" customHeight="1" x14ac:dyDescent="0.25">
      <c r="A409" s="3"/>
      <c r="B409" s="8"/>
      <c r="C409" s="8"/>
      <c r="D409" s="8"/>
      <c r="E409" s="3"/>
      <c r="F409" s="3"/>
      <c r="G409" s="8"/>
      <c r="H409" s="8"/>
      <c r="I409" s="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24" customHeight="1" x14ac:dyDescent="0.25">
      <c r="A410" s="3"/>
      <c r="B410" s="8"/>
      <c r="C410" s="8"/>
      <c r="D410" s="8"/>
      <c r="E410" s="3"/>
      <c r="F410" s="3"/>
      <c r="G410" s="8"/>
      <c r="H410" s="8"/>
      <c r="I410" s="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24" customHeight="1" x14ac:dyDescent="0.25">
      <c r="A411" s="3"/>
      <c r="B411" s="8"/>
      <c r="C411" s="8"/>
      <c r="D411" s="8"/>
      <c r="E411" s="3"/>
      <c r="F411" s="3"/>
      <c r="G411" s="8"/>
      <c r="H411" s="8"/>
      <c r="I411" s="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24" customHeight="1" x14ac:dyDescent="0.25">
      <c r="A412" s="3"/>
      <c r="B412" s="8"/>
      <c r="C412" s="8"/>
      <c r="D412" s="8"/>
      <c r="E412" s="3"/>
      <c r="F412" s="3"/>
      <c r="G412" s="8"/>
      <c r="H412" s="8"/>
      <c r="I412" s="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24" customHeight="1" x14ac:dyDescent="0.25">
      <c r="A413" s="3"/>
      <c r="B413" s="8"/>
      <c r="C413" s="8"/>
      <c r="D413" s="8"/>
      <c r="E413" s="3"/>
      <c r="F413" s="3"/>
      <c r="G413" s="8"/>
      <c r="H413" s="8"/>
      <c r="I413" s="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24" customHeight="1" x14ac:dyDescent="0.25">
      <c r="A414" s="3"/>
      <c r="B414" s="8"/>
      <c r="C414" s="8"/>
      <c r="D414" s="8"/>
      <c r="E414" s="3"/>
      <c r="F414" s="3"/>
      <c r="G414" s="8"/>
      <c r="H414" s="8"/>
      <c r="I414" s="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24" customHeight="1" x14ac:dyDescent="0.25">
      <c r="A415" s="3"/>
      <c r="B415" s="8"/>
      <c r="C415" s="8"/>
      <c r="D415" s="8"/>
      <c r="E415" s="3"/>
      <c r="F415" s="3"/>
      <c r="G415" s="8"/>
      <c r="H415" s="8"/>
      <c r="I415" s="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24" customHeight="1" x14ac:dyDescent="0.25">
      <c r="A416" s="3"/>
      <c r="B416" s="8"/>
      <c r="C416" s="8"/>
      <c r="D416" s="8"/>
      <c r="E416" s="3"/>
      <c r="F416" s="3"/>
      <c r="G416" s="8"/>
      <c r="H416" s="8"/>
      <c r="I416" s="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24" customHeight="1" x14ac:dyDescent="0.25">
      <c r="A417" s="3"/>
      <c r="B417" s="8"/>
      <c r="C417" s="8"/>
      <c r="D417" s="8"/>
      <c r="E417" s="3"/>
      <c r="F417" s="3"/>
      <c r="G417" s="8"/>
      <c r="H417" s="8"/>
      <c r="I417" s="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24" customHeight="1" x14ac:dyDescent="0.25">
      <c r="A418" s="3"/>
      <c r="B418" s="8"/>
      <c r="C418" s="8"/>
      <c r="D418" s="8"/>
      <c r="E418" s="3"/>
      <c r="F418" s="3"/>
      <c r="G418" s="8"/>
      <c r="H418" s="8"/>
      <c r="I418" s="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24" customHeight="1" x14ac:dyDescent="0.25">
      <c r="A419" s="3"/>
      <c r="B419" s="8"/>
      <c r="C419" s="8"/>
      <c r="D419" s="8"/>
      <c r="E419" s="3"/>
      <c r="F419" s="3"/>
      <c r="G419" s="8"/>
      <c r="H419" s="8"/>
      <c r="I419" s="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24" customHeight="1" x14ac:dyDescent="0.25">
      <c r="A420" s="3"/>
      <c r="B420" s="8"/>
      <c r="C420" s="8"/>
      <c r="D420" s="8"/>
      <c r="E420" s="3"/>
      <c r="F420" s="3"/>
      <c r="G420" s="8"/>
      <c r="H420" s="8"/>
      <c r="I420" s="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24" customHeight="1" x14ac:dyDescent="0.25">
      <c r="A421" s="3"/>
      <c r="B421" s="8"/>
      <c r="C421" s="8"/>
      <c r="D421" s="8"/>
      <c r="E421" s="3"/>
      <c r="F421" s="3"/>
      <c r="G421" s="8"/>
      <c r="H421" s="8"/>
      <c r="I421" s="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24" customHeight="1" x14ac:dyDescent="0.25">
      <c r="A422" s="3"/>
      <c r="B422" s="8"/>
      <c r="C422" s="8"/>
      <c r="D422" s="8"/>
      <c r="E422" s="3"/>
      <c r="F422" s="3"/>
      <c r="G422" s="8"/>
      <c r="H422" s="8"/>
      <c r="I422" s="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24" customHeight="1" x14ac:dyDescent="0.25">
      <c r="A423" s="3"/>
      <c r="B423" s="8"/>
      <c r="C423" s="8"/>
      <c r="D423" s="8"/>
      <c r="E423" s="3"/>
      <c r="F423" s="3"/>
      <c r="G423" s="8"/>
      <c r="H423" s="8"/>
      <c r="I423" s="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24" customHeight="1" x14ac:dyDescent="0.25">
      <c r="A424" s="3"/>
      <c r="B424" s="8"/>
      <c r="C424" s="8"/>
      <c r="D424" s="8"/>
      <c r="E424" s="3"/>
      <c r="F424" s="3"/>
      <c r="G424" s="8"/>
      <c r="H424" s="8"/>
      <c r="I424" s="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24" customHeight="1" x14ac:dyDescent="0.25">
      <c r="A425" s="3"/>
      <c r="B425" s="8"/>
      <c r="C425" s="8"/>
      <c r="D425" s="8"/>
      <c r="E425" s="3"/>
      <c r="F425" s="3"/>
      <c r="G425" s="8"/>
      <c r="H425" s="8"/>
      <c r="I425" s="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24" customHeight="1" x14ac:dyDescent="0.25">
      <c r="A426" s="3"/>
      <c r="B426" s="8"/>
      <c r="C426" s="8"/>
      <c r="D426" s="8"/>
      <c r="E426" s="3"/>
      <c r="F426" s="3"/>
      <c r="G426" s="8"/>
      <c r="H426" s="8"/>
      <c r="I426" s="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24" customHeight="1" x14ac:dyDescent="0.25">
      <c r="A427" s="3"/>
      <c r="B427" s="8"/>
      <c r="C427" s="8"/>
      <c r="D427" s="8"/>
      <c r="E427" s="3"/>
      <c r="F427" s="3"/>
      <c r="G427" s="8"/>
      <c r="H427" s="8"/>
      <c r="I427" s="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24" customHeight="1" x14ac:dyDescent="0.25">
      <c r="A428" s="3"/>
      <c r="B428" s="8"/>
      <c r="C428" s="8"/>
      <c r="D428" s="8"/>
      <c r="E428" s="3"/>
      <c r="F428" s="3"/>
      <c r="G428" s="8"/>
      <c r="H428" s="8"/>
      <c r="I428" s="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24" customHeight="1" x14ac:dyDescent="0.25">
      <c r="A429" s="3"/>
      <c r="B429" s="8"/>
      <c r="C429" s="8"/>
      <c r="D429" s="8"/>
      <c r="E429" s="3"/>
      <c r="F429" s="3"/>
      <c r="G429" s="8"/>
      <c r="H429" s="8"/>
      <c r="I429" s="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24" customHeight="1" x14ac:dyDescent="0.25">
      <c r="A430" s="3"/>
      <c r="B430" s="8"/>
      <c r="C430" s="8"/>
      <c r="D430" s="8"/>
      <c r="E430" s="3"/>
      <c r="F430" s="3"/>
      <c r="G430" s="8"/>
      <c r="H430" s="8"/>
      <c r="I430" s="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24" customHeight="1" x14ac:dyDescent="0.25">
      <c r="A431" s="3"/>
      <c r="B431" s="8"/>
      <c r="C431" s="8"/>
      <c r="D431" s="8"/>
      <c r="E431" s="3"/>
      <c r="F431" s="3"/>
      <c r="G431" s="8"/>
      <c r="H431" s="8"/>
      <c r="I431" s="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24" customHeight="1" x14ac:dyDescent="0.25">
      <c r="A432" s="3"/>
      <c r="B432" s="8"/>
      <c r="C432" s="8"/>
      <c r="D432" s="8"/>
      <c r="E432" s="3"/>
      <c r="F432" s="3"/>
      <c r="G432" s="8"/>
      <c r="H432" s="8"/>
      <c r="I432" s="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24" customHeight="1" x14ac:dyDescent="0.25">
      <c r="A433" s="3"/>
      <c r="B433" s="8"/>
      <c r="C433" s="8"/>
      <c r="D433" s="8"/>
      <c r="E433" s="3"/>
      <c r="F433" s="3"/>
      <c r="G433" s="8"/>
      <c r="H433" s="8"/>
      <c r="I433" s="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24" customHeight="1" x14ac:dyDescent="0.25">
      <c r="A434" s="3"/>
      <c r="B434" s="8"/>
      <c r="C434" s="8"/>
      <c r="D434" s="8"/>
      <c r="E434" s="3"/>
      <c r="F434" s="3"/>
      <c r="G434" s="8"/>
      <c r="H434" s="8"/>
      <c r="I434" s="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24" customHeight="1" x14ac:dyDescent="0.25">
      <c r="A435" s="3"/>
      <c r="B435" s="8"/>
      <c r="C435" s="8"/>
      <c r="D435" s="8"/>
      <c r="E435" s="3"/>
      <c r="F435" s="3"/>
      <c r="G435" s="8"/>
      <c r="H435" s="8"/>
      <c r="I435" s="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24" customHeight="1" x14ac:dyDescent="0.25">
      <c r="A436" s="3"/>
      <c r="B436" s="8"/>
      <c r="C436" s="8"/>
      <c r="D436" s="8"/>
      <c r="E436" s="3"/>
      <c r="F436" s="3"/>
      <c r="G436" s="8"/>
      <c r="H436" s="8"/>
      <c r="I436" s="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24" customHeight="1" x14ac:dyDescent="0.25">
      <c r="A437" s="3"/>
      <c r="B437" s="8"/>
      <c r="C437" s="8"/>
      <c r="D437" s="8"/>
      <c r="E437" s="3"/>
      <c r="F437" s="3"/>
      <c r="G437" s="8"/>
      <c r="H437" s="8"/>
      <c r="I437" s="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24" customHeight="1" x14ac:dyDescent="0.25">
      <c r="A438" s="3"/>
      <c r="B438" s="8"/>
      <c r="C438" s="8"/>
      <c r="D438" s="8"/>
      <c r="E438" s="3"/>
      <c r="F438" s="3"/>
      <c r="G438" s="8"/>
      <c r="H438" s="8"/>
      <c r="I438" s="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24" customHeight="1" x14ac:dyDescent="0.25">
      <c r="A439" s="3"/>
      <c r="B439" s="8"/>
      <c r="C439" s="8"/>
      <c r="D439" s="8"/>
      <c r="E439" s="3"/>
      <c r="F439" s="3"/>
      <c r="G439" s="8"/>
      <c r="H439" s="8"/>
      <c r="I439" s="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24" customHeight="1" x14ac:dyDescent="0.25">
      <c r="A440" s="3"/>
      <c r="B440" s="8"/>
      <c r="C440" s="8"/>
      <c r="D440" s="8"/>
      <c r="E440" s="3"/>
      <c r="F440" s="3"/>
      <c r="G440" s="8"/>
      <c r="H440" s="8"/>
      <c r="I440" s="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24" customHeight="1" x14ac:dyDescent="0.25">
      <c r="A441" s="3"/>
      <c r="B441" s="8"/>
      <c r="C441" s="8"/>
      <c r="D441" s="8"/>
      <c r="E441" s="3"/>
      <c r="F441" s="3"/>
      <c r="G441" s="8"/>
      <c r="H441" s="8"/>
      <c r="I441" s="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24" customHeight="1" x14ac:dyDescent="0.25">
      <c r="A442" s="3"/>
      <c r="B442" s="8"/>
      <c r="C442" s="8"/>
      <c r="D442" s="8"/>
      <c r="E442" s="3"/>
      <c r="F442" s="3"/>
      <c r="G442" s="8"/>
      <c r="H442" s="8"/>
      <c r="I442" s="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24" customHeight="1" x14ac:dyDescent="0.25">
      <c r="A443" s="3"/>
      <c r="B443" s="8"/>
      <c r="C443" s="8"/>
      <c r="D443" s="8"/>
      <c r="E443" s="3"/>
      <c r="F443" s="3"/>
      <c r="G443" s="8"/>
      <c r="H443" s="8"/>
      <c r="I443" s="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24" customHeight="1" x14ac:dyDescent="0.25">
      <c r="A444" s="3"/>
      <c r="B444" s="8"/>
      <c r="C444" s="8"/>
      <c r="D444" s="8"/>
      <c r="E444" s="3"/>
      <c r="F444" s="3"/>
      <c r="G444" s="8"/>
      <c r="H444" s="8"/>
      <c r="I444" s="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24" customHeight="1" x14ac:dyDescent="0.25">
      <c r="A445" s="3"/>
      <c r="B445" s="8"/>
      <c r="C445" s="8"/>
      <c r="D445" s="8"/>
      <c r="E445" s="3"/>
      <c r="F445" s="3"/>
      <c r="G445" s="8"/>
      <c r="H445" s="8"/>
      <c r="I445" s="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24" customHeight="1" x14ac:dyDescent="0.25">
      <c r="A446" s="3"/>
      <c r="B446" s="8"/>
      <c r="C446" s="8"/>
      <c r="D446" s="8"/>
      <c r="E446" s="3"/>
      <c r="F446" s="3"/>
      <c r="G446" s="8"/>
      <c r="H446" s="8"/>
      <c r="I446" s="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24" customHeight="1" x14ac:dyDescent="0.25">
      <c r="A447" s="3"/>
      <c r="B447" s="8"/>
      <c r="C447" s="8"/>
      <c r="D447" s="8"/>
      <c r="E447" s="3"/>
      <c r="F447" s="3"/>
      <c r="G447" s="8"/>
      <c r="H447" s="8"/>
      <c r="I447" s="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24" customHeight="1" x14ac:dyDescent="0.25">
      <c r="A448" s="3"/>
      <c r="B448" s="8"/>
      <c r="C448" s="8"/>
      <c r="D448" s="8"/>
      <c r="E448" s="3"/>
      <c r="F448" s="3"/>
      <c r="G448" s="8"/>
      <c r="H448" s="8"/>
      <c r="I448" s="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24" customHeight="1" x14ac:dyDescent="0.25">
      <c r="A449" s="3"/>
      <c r="B449" s="8"/>
      <c r="C449" s="8"/>
      <c r="D449" s="8"/>
      <c r="E449" s="3"/>
      <c r="F449" s="3"/>
      <c r="G449" s="8"/>
      <c r="H449" s="8"/>
      <c r="I449" s="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24" customHeight="1" x14ac:dyDescent="0.25">
      <c r="A450" s="3"/>
      <c r="B450" s="8"/>
      <c r="C450" s="8"/>
      <c r="D450" s="8"/>
      <c r="E450" s="3"/>
      <c r="F450" s="3"/>
      <c r="G450" s="8"/>
      <c r="H450" s="8"/>
      <c r="I450" s="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24" customHeight="1" x14ac:dyDescent="0.25">
      <c r="A451" s="3"/>
      <c r="B451" s="8"/>
      <c r="C451" s="8"/>
      <c r="D451" s="8"/>
      <c r="E451" s="3"/>
      <c r="F451" s="3"/>
      <c r="G451" s="8"/>
      <c r="H451" s="8"/>
      <c r="I451" s="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24" customHeight="1" x14ac:dyDescent="0.25">
      <c r="A452" s="3"/>
      <c r="B452" s="8"/>
      <c r="C452" s="8"/>
      <c r="D452" s="8"/>
      <c r="E452" s="3"/>
      <c r="F452" s="3"/>
      <c r="G452" s="8"/>
      <c r="H452" s="8"/>
      <c r="I452" s="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24" customHeight="1" x14ac:dyDescent="0.25">
      <c r="A453" s="3"/>
      <c r="B453" s="8"/>
      <c r="C453" s="8"/>
      <c r="D453" s="8"/>
      <c r="E453" s="3"/>
      <c r="F453" s="3"/>
      <c r="G453" s="8"/>
      <c r="H453" s="8"/>
      <c r="I453" s="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24" customHeight="1" x14ac:dyDescent="0.25">
      <c r="A454" s="3"/>
      <c r="B454" s="8"/>
      <c r="C454" s="8"/>
      <c r="D454" s="8"/>
      <c r="E454" s="3"/>
      <c r="F454" s="3"/>
      <c r="G454" s="8"/>
      <c r="H454" s="8"/>
      <c r="I454" s="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24" customHeight="1" x14ac:dyDescent="0.25">
      <c r="A455" s="3"/>
      <c r="B455" s="8"/>
      <c r="C455" s="8"/>
      <c r="D455" s="8"/>
      <c r="E455" s="3"/>
      <c r="F455" s="3"/>
      <c r="G455" s="8"/>
      <c r="H455" s="8"/>
      <c r="I455" s="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24" customHeight="1" x14ac:dyDescent="0.25">
      <c r="A456" s="3"/>
      <c r="B456" s="8"/>
      <c r="C456" s="8"/>
      <c r="D456" s="8"/>
      <c r="E456" s="3"/>
      <c r="F456" s="3"/>
      <c r="G456" s="8"/>
      <c r="H456" s="8"/>
      <c r="I456" s="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24" customHeight="1" x14ac:dyDescent="0.25">
      <c r="A457" s="3"/>
      <c r="B457" s="8"/>
      <c r="C457" s="8"/>
      <c r="D457" s="8"/>
      <c r="E457" s="3"/>
      <c r="F457" s="3"/>
      <c r="G457" s="8"/>
      <c r="H457" s="8"/>
      <c r="I457" s="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24" customHeight="1" x14ac:dyDescent="0.25">
      <c r="A458" s="3"/>
      <c r="B458" s="8"/>
      <c r="C458" s="8"/>
      <c r="D458" s="8"/>
      <c r="E458" s="3"/>
      <c r="F458" s="3"/>
      <c r="G458" s="8"/>
      <c r="H458" s="8"/>
      <c r="I458" s="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24" customHeight="1" x14ac:dyDescent="0.25">
      <c r="A459" s="3"/>
      <c r="B459" s="8"/>
      <c r="C459" s="8"/>
      <c r="D459" s="8"/>
      <c r="E459" s="3"/>
      <c r="F459" s="3"/>
      <c r="G459" s="8"/>
      <c r="H459" s="8"/>
      <c r="I459" s="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24" customHeight="1" x14ac:dyDescent="0.25">
      <c r="A460" s="3"/>
      <c r="B460" s="8"/>
      <c r="C460" s="8"/>
      <c r="D460" s="8"/>
      <c r="E460" s="3"/>
      <c r="F460" s="3"/>
      <c r="G460" s="8"/>
      <c r="H460" s="8"/>
      <c r="I460" s="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24" customHeight="1" x14ac:dyDescent="0.25">
      <c r="A461" s="3"/>
      <c r="B461" s="8"/>
      <c r="C461" s="8"/>
      <c r="D461" s="8"/>
      <c r="E461" s="3"/>
      <c r="F461" s="3"/>
      <c r="G461" s="8"/>
      <c r="H461" s="8"/>
      <c r="I461" s="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24" customHeight="1" x14ac:dyDescent="0.25">
      <c r="A462" s="3"/>
      <c r="B462" s="8"/>
      <c r="C462" s="8"/>
      <c r="D462" s="8"/>
      <c r="E462" s="3"/>
      <c r="F462" s="3"/>
      <c r="G462" s="8"/>
      <c r="H462" s="8"/>
      <c r="I462" s="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24" customHeight="1" x14ac:dyDescent="0.25">
      <c r="A463" s="3"/>
      <c r="B463" s="8"/>
      <c r="C463" s="8"/>
      <c r="D463" s="8"/>
      <c r="E463" s="3"/>
      <c r="F463" s="3"/>
      <c r="G463" s="8"/>
      <c r="H463" s="8"/>
      <c r="I463" s="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24" customHeight="1" x14ac:dyDescent="0.25">
      <c r="A464" s="3"/>
      <c r="B464" s="8"/>
      <c r="C464" s="8"/>
      <c r="D464" s="8"/>
      <c r="E464" s="3"/>
      <c r="F464" s="3"/>
      <c r="G464" s="8"/>
      <c r="H464" s="8"/>
      <c r="I464" s="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24" customHeight="1" x14ac:dyDescent="0.25">
      <c r="A465" s="3"/>
      <c r="B465" s="8"/>
      <c r="C465" s="8"/>
      <c r="D465" s="8"/>
      <c r="E465" s="3"/>
      <c r="F465" s="3"/>
      <c r="G465" s="8"/>
      <c r="H465" s="8"/>
      <c r="I465" s="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24" customHeight="1" x14ac:dyDescent="0.25">
      <c r="A466" s="3"/>
      <c r="B466" s="8"/>
      <c r="C466" s="8"/>
      <c r="D466" s="8"/>
      <c r="E466" s="3"/>
      <c r="F466" s="3"/>
      <c r="G466" s="8"/>
      <c r="H466" s="8"/>
      <c r="I466" s="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24" customHeight="1" x14ac:dyDescent="0.25">
      <c r="A467" s="3"/>
      <c r="B467" s="8"/>
      <c r="C467" s="8"/>
      <c r="D467" s="8"/>
      <c r="E467" s="3"/>
      <c r="F467" s="3"/>
      <c r="G467" s="8"/>
      <c r="H467" s="8"/>
      <c r="I467" s="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24" customHeight="1" x14ac:dyDescent="0.25">
      <c r="A468" s="3"/>
      <c r="B468" s="8"/>
      <c r="C468" s="8"/>
      <c r="D468" s="8"/>
      <c r="E468" s="3"/>
      <c r="F468" s="3"/>
      <c r="G468" s="8"/>
      <c r="H468" s="8"/>
      <c r="I468" s="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24" customHeight="1" x14ac:dyDescent="0.25">
      <c r="A469" s="3"/>
      <c r="B469" s="8"/>
      <c r="C469" s="8"/>
      <c r="D469" s="8"/>
      <c r="E469" s="3"/>
      <c r="F469" s="3"/>
      <c r="G469" s="8"/>
      <c r="H469" s="8"/>
      <c r="I469" s="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24" customHeight="1" x14ac:dyDescent="0.25">
      <c r="A470" s="3"/>
      <c r="B470" s="8"/>
      <c r="C470" s="8"/>
      <c r="D470" s="8"/>
      <c r="E470" s="3"/>
      <c r="F470" s="3"/>
      <c r="G470" s="8"/>
      <c r="H470" s="8"/>
      <c r="I470" s="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24" customHeight="1" x14ac:dyDescent="0.25">
      <c r="A471" s="3"/>
      <c r="B471" s="8"/>
      <c r="C471" s="8"/>
      <c r="D471" s="8"/>
      <c r="E471" s="3"/>
      <c r="F471" s="3"/>
      <c r="G471" s="8"/>
      <c r="H471" s="8"/>
      <c r="I471" s="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24" customHeight="1" x14ac:dyDescent="0.25">
      <c r="A472" s="3"/>
      <c r="B472" s="8"/>
      <c r="C472" s="8"/>
      <c r="D472" s="8"/>
      <c r="E472" s="3"/>
      <c r="F472" s="3"/>
      <c r="G472" s="8"/>
      <c r="H472" s="8"/>
      <c r="I472" s="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24" customHeight="1" x14ac:dyDescent="0.25">
      <c r="A473" s="3"/>
      <c r="B473" s="8"/>
      <c r="C473" s="8"/>
      <c r="D473" s="8"/>
      <c r="E473" s="3"/>
      <c r="F473" s="3"/>
      <c r="G473" s="8"/>
      <c r="H473" s="8"/>
      <c r="I473" s="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24" customHeight="1" x14ac:dyDescent="0.25">
      <c r="A474" s="3"/>
      <c r="B474" s="8"/>
      <c r="C474" s="8"/>
      <c r="D474" s="8"/>
      <c r="E474" s="3"/>
      <c r="F474" s="3"/>
      <c r="G474" s="8"/>
      <c r="H474" s="8"/>
      <c r="I474" s="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24" customHeight="1" x14ac:dyDescent="0.25">
      <c r="A475" s="3"/>
      <c r="B475" s="8"/>
      <c r="C475" s="8"/>
      <c r="D475" s="8"/>
      <c r="E475" s="3"/>
      <c r="F475" s="3"/>
      <c r="G475" s="8"/>
      <c r="H475" s="8"/>
      <c r="I475" s="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24" customHeight="1" x14ac:dyDescent="0.25">
      <c r="A476" s="3"/>
      <c r="B476" s="8"/>
      <c r="C476" s="8"/>
      <c r="D476" s="8"/>
      <c r="E476" s="3"/>
      <c r="F476" s="3"/>
      <c r="G476" s="8"/>
      <c r="H476" s="8"/>
      <c r="I476" s="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24" customHeight="1" x14ac:dyDescent="0.25">
      <c r="A477" s="3"/>
      <c r="B477" s="8"/>
      <c r="C477" s="8"/>
      <c r="D477" s="8"/>
      <c r="E477" s="3"/>
      <c r="F477" s="3"/>
      <c r="G477" s="8"/>
      <c r="H477" s="8"/>
      <c r="I477" s="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24" customHeight="1" x14ac:dyDescent="0.25">
      <c r="A478" s="3"/>
      <c r="B478" s="8"/>
      <c r="C478" s="8"/>
      <c r="D478" s="8"/>
      <c r="E478" s="3"/>
      <c r="F478" s="3"/>
      <c r="G478" s="8"/>
      <c r="H478" s="8"/>
      <c r="I478" s="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24" customHeight="1" x14ac:dyDescent="0.25">
      <c r="A479" s="3"/>
      <c r="B479" s="8"/>
      <c r="C479" s="8"/>
      <c r="D479" s="8"/>
      <c r="E479" s="3"/>
      <c r="F479" s="3"/>
      <c r="G479" s="8"/>
      <c r="H479" s="8"/>
      <c r="I479" s="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24" customHeight="1" x14ac:dyDescent="0.25">
      <c r="A480" s="3"/>
      <c r="B480" s="8"/>
      <c r="C480" s="8"/>
      <c r="D480" s="8"/>
      <c r="E480" s="3"/>
      <c r="F480" s="3"/>
      <c r="G480" s="8"/>
      <c r="H480" s="8"/>
      <c r="I480" s="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24" customHeight="1" x14ac:dyDescent="0.25">
      <c r="A481" s="3"/>
      <c r="B481" s="8"/>
      <c r="C481" s="8"/>
      <c r="D481" s="8"/>
      <c r="E481" s="3"/>
      <c r="F481" s="3"/>
      <c r="G481" s="8"/>
      <c r="H481" s="8"/>
      <c r="I481" s="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24" customHeight="1" x14ac:dyDescent="0.25">
      <c r="A482" s="3"/>
      <c r="B482" s="8"/>
      <c r="C482" s="8"/>
      <c r="D482" s="8"/>
      <c r="E482" s="3"/>
      <c r="F482" s="3"/>
      <c r="G482" s="8"/>
      <c r="H482" s="8"/>
      <c r="I482" s="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24" customHeight="1" x14ac:dyDescent="0.25">
      <c r="A483" s="3"/>
      <c r="B483" s="8"/>
      <c r="C483" s="8"/>
      <c r="D483" s="8"/>
      <c r="E483" s="3"/>
      <c r="F483" s="3"/>
      <c r="G483" s="8"/>
      <c r="H483" s="8"/>
      <c r="I483" s="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24" customHeight="1" x14ac:dyDescent="0.25">
      <c r="A484" s="3"/>
      <c r="B484" s="8"/>
      <c r="C484" s="8"/>
      <c r="D484" s="8"/>
      <c r="E484" s="3"/>
      <c r="F484" s="3"/>
      <c r="G484" s="8"/>
      <c r="H484" s="8"/>
      <c r="I484" s="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24" customHeight="1" x14ac:dyDescent="0.25">
      <c r="A485" s="3"/>
      <c r="B485" s="8"/>
      <c r="C485" s="8"/>
      <c r="D485" s="8"/>
      <c r="E485" s="3"/>
      <c r="F485" s="3"/>
      <c r="G485" s="8"/>
      <c r="H485" s="8"/>
      <c r="I485" s="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24" customHeight="1" x14ac:dyDescent="0.25">
      <c r="A486" s="3"/>
      <c r="B486" s="8"/>
      <c r="C486" s="8"/>
      <c r="D486" s="8"/>
      <c r="E486" s="3"/>
      <c r="F486" s="3"/>
      <c r="G486" s="8"/>
      <c r="H486" s="8"/>
      <c r="I486" s="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24" customHeight="1" x14ac:dyDescent="0.25">
      <c r="A487" s="3"/>
      <c r="B487" s="8"/>
      <c r="C487" s="8"/>
      <c r="D487" s="8"/>
      <c r="E487" s="3"/>
      <c r="F487" s="3"/>
      <c r="G487" s="8"/>
      <c r="H487" s="8"/>
      <c r="I487" s="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24" customHeight="1" x14ac:dyDescent="0.25">
      <c r="A488" s="3"/>
      <c r="B488" s="8"/>
      <c r="C488" s="8"/>
      <c r="D488" s="8"/>
      <c r="E488" s="3"/>
      <c r="F488" s="3"/>
      <c r="G488" s="8"/>
      <c r="H488" s="8"/>
      <c r="I488" s="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24" customHeight="1" x14ac:dyDescent="0.25">
      <c r="A489" s="3"/>
      <c r="B489" s="8"/>
      <c r="C489" s="8"/>
      <c r="D489" s="8"/>
      <c r="E489" s="3"/>
      <c r="F489" s="3"/>
      <c r="G489" s="8"/>
      <c r="H489" s="8"/>
      <c r="I489" s="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24" customHeight="1" x14ac:dyDescent="0.25">
      <c r="A490" s="3"/>
      <c r="B490" s="8"/>
      <c r="C490" s="8"/>
      <c r="D490" s="8"/>
      <c r="E490" s="3"/>
      <c r="F490" s="3"/>
      <c r="G490" s="8"/>
      <c r="H490" s="8"/>
      <c r="I490" s="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24" customHeight="1" x14ac:dyDescent="0.25">
      <c r="A491" s="3"/>
      <c r="B491" s="8"/>
      <c r="C491" s="8"/>
      <c r="D491" s="8"/>
      <c r="E491" s="3"/>
      <c r="F491" s="3"/>
      <c r="G491" s="8"/>
      <c r="H491" s="8"/>
      <c r="I491" s="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24" customHeight="1" x14ac:dyDescent="0.25">
      <c r="A492" s="3"/>
      <c r="B492" s="8"/>
      <c r="C492" s="8"/>
      <c r="D492" s="8"/>
      <c r="E492" s="3"/>
      <c r="F492" s="3"/>
      <c r="G492" s="8"/>
      <c r="H492" s="8"/>
      <c r="I492" s="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24" customHeight="1" x14ac:dyDescent="0.25">
      <c r="A493" s="3"/>
      <c r="B493" s="8"/>
      <c r="C493" s="8"/>
      <c r="D493" s="8"/>
      <c r="E493" s="3"/>
      <c r="F493" s="3"/>
      <c r="G493" s="8"/>
      <c r="H493" s="8"/>
      <c r="I493" s="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24" customHeight="1" x14ac:dyDescent="0.25">
      <c r="A494" s="3"/>
      <c r="B494" s="8"/>
      <c r="C494" s="8"/>
      <c r="D494" s="8"/>
      <c r="E494" s="3"/>
      <c r="F494" s="3"/>
      <c r="G494" s="8"/>
      <c r="H494" s="8"/>
      <c r="I494" s="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24" customHeight="1" x14ac:dyDescent="0.25">
      <c r="A495" s="3"/>
      <c r="B495" s="8"/>
      <c r="C495" s="8"/>
      <c r="D495" s="8"/>
      <c r="E495" s="3"/>
      <c r="F495" s="3"/>
      <c r="G495" s="8"/>
      <c r="H495" s="8"/>
      <c r="I495" s="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24" customHeight="1" x14ac:dyDescent="0.25">
      <c r="A496" s="3"/>
      <c r="B496" s="8"/>
      <c r="C496" s="8"/>
      <c r="D496" s="8"/>
      <c r="E496" s="3"/>
      <c r="F496" s="3"/>
      <c r="G496" s="8"/>
      <c r="H496" s="8"/>
      <c r="I496" s="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24" customHeight="1" x14ac:dyDescent="0.25">
      <c r="A497" s="3"/>
      <c r="B497" s="8"/>
      <c r="C497" s="8"/>
      <c r="D497" s="8"/>
      <c r="E497" s="3"/>
      <c r="F497" s="3"/>
      <c r="G497" s="8"/>
      <c r="H497" s="8"/>
      <c r="I497" s="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24" customHeight="1" x14ac:dyDescent="0.25">
      <c r="A498" s="3"/>
      <c r="B498" s="8"/>
      <c r="C498" s="8"/>
      <c r="D498" s="8"/>
      <c r="E498" s="3"/>
      <c r="F498" s="3"/>
      <c r="G498" s="8"/>
      <c r="H498" s="8"/>
      <c r="I498" s="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24" customHeight="1" x14ac:dyDescent="0.25">
      <c r="A499" s="3"/>
      <c r="B499" s="8"/>
      <c r="C499" s="8"/>
      <c r="D499" s="8"/>
      <c r="E499" s="3"/>
      <c r="F499" s="3"/>
      <c r="G499" s="8"/>
      <c r="H499" s="8"/>
      <c r="I499" s="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24" customHeight="1" x14ac:dyDescent="0.25">
      <c r="A500" s="3"/>
      <c r="B500" s="8"/>
      <c r="C500" s="8"/>
      <c r="D500" s="8"/>
      <c r="E500" s="3"/>
      <c r="F500" s="3"/>
      <c r="G500" s="8"/>
      <c r="H500" s="8"/>
      <c r="I500" s="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24" customHeight="1" x14ac:dyDescent="0.25">
      <c r="A501" s="3"/>
      <c r="B501" s="8"/>
      <c r="C501" s="8"/>
      <c r="D501" s="8"/>
      <c r="E501" s="3"/>
      <c r="F501" s="3"/>
      <c r="G501" s="8"/>
      <c r="H501" s="8"/>
      <c r="I501" s="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24" customHeight="1" x14ac:dyDescent="0.25">
      <c r="A502" s="3"/>
      <c r="B502" s="8"/>
      <c r="C502" s="8"/>
      <c r="D502" s="8"/>
      <c r="E502" s="3"/>
      <c r="F502" s="3"/>
      <c r="G502" s="8"/>
      <c r="H502" s="8"/>
      <c r="I502" s="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24" customHeight="1" x14ac:dyDescent="0.25">
      <c r="A503" s="3"/>
      <c r="B503" s="8"/>
      <c r="C503" s="8"/>
      <c r="D503" s="8"/>
      <c r="E503" s="3"/>
      <c r="F503" s="3"/>
      <c r="G503" s="8"/>
      <c r="H503" s="8"/>
      <c r="I503" s="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24" customHeight="1" x14ac:dyDescent="0.25">
      <c r="A504" s="3"/>
      <c r="B504" s="8"/>
      <c r="C504" s="8"/>
      <c r="D504" s="8"/>
      <c r="E504" s="3"/>
      <c r="F504" s="3"/>
      <c r="G504" s="8"/>
      <c r="H504" s="8"/>
      <c r="I504" s="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24" customHeight="1" x14ac:dyDescent="0.25">
      <c r="A505" s="3"/>
      <c r="B505" s="8"/>
      <c r="C505" s="8"/>
      <c r="D505" s="8"/>
      <c r="E505" s="3"/>
      <c r="F505" s="3"/>
      <c r="G505" s="8"/>
      <c r="H505" s="8"/>
      <c r="I505" s="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24" customHeight="1" x14ac:dyDescent="0.25">
      <c r="A506" s="3"/>
      <c r="B506" s="8"/>
      <c r="C506" s="8"/>
      <c r="D506" s="8"/>
      <c r="E506" s="3"/>
      <c r="F506" s="3"/>
      <c r="G506" s="8"/>
      <c r="H506" s="8"/>
      <c r="I506" s="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24" customHeight="1" x14ac:dyDescent="0.25">
      <c r="A507" s="3"/>
      <c r="B507" s="8"/>
      <c r="C507" s="8"/>
      <c r="D507" s="8"/>
      <c r="E507" s="3"/>
      <c r="F507" s="3"/>
      <c r="G507" s="8"/>
      <c r="H507" s="8"/>
      <c r="I507" s="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24" customHeight="1" x14ac:dyDescent="0.25">
      <c r="A508" s="3"/>
      <c r="B508" s="8"/>
      <c r="C508" s="8"/>
      <c r="D508" s="8"/>
      <c r="E508" s="3"/>
      <c r="F508" s="3"/>
      <c r="G508" s="8"/>
      <c r="H508" s="8"/>
      <c r="I508" s="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24" customHeight="1" x14ac:dyDescent="0.25">
      <c r="A509" s="3"/>
      <c r="B509" s="8"/>
      <c r="C509" s="8"/>
      <c r="D509" s="8"/>
      <c r="E509" s="3"/>
      <c r="F509" s="3"/>
      <c r="G509" s="8"/>
      <c r="H509" s="8"/>
      <c r="I509" s="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24" customHeight="1" x14ac:dyDescent="0.25">
      <c r="A510" s="3"/>
      <c r="B510" s="8"/>
      <c r="C510" s="8"/>
      <c r="D510" s="8"/>
      <c r="E510" s="3"/>
      <c r="F510" s="3"/>
      <c r="G510" s="8"/>
      <c r="H510" s="8"/>
      <c r="I510" s="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24" customHeight="1" x14ac:dyDescent="0.25">
      <c r="A511" s="3"/>
      <c r="B511" s="8"/>
      <c r="C511" s="8"/>
      <c r="D511" s="8"/>
      <c r="E511" s="3"/>
      <c r="F511" s="3"/>
      <c r="G511" s="8"/>
      <c r="H511" s="8"/>
      <c r="I511" s="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24" customHeight="1" x14ac:dyDescent="0.25">
      <c r="A512" s="3"/>
      <c r="B512" s="8"/>
      <c r="C512" s="8"/>
      <c r="D512" s="8"/>
      <c r="E512" s="3"/>
      <c r="F512" s="3"/>
      <c r="G512" s="8"/>
      <c r="H512" s="8"/>
      <c r="I512" s="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24" customHeight="1" x14ac:dyDescent="0.25">
      <c r="A513" s="3"/>
      <c r="B513" s="8"/>
      <c r="C513" s="8"/>
      <c r="D513" s="8"/>
      <c r="E513" s="3"/>
      <c r="F513" s="3"/>
      <c r="G513" s="8"/>
      <c r="H513" s="8"/>
      <c r="I513" s="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24" customHeight="1" x14ac:dyDescent="0.25">
      <c r="A514" s="3"/>
      <c r="B514" s="8"/>
      <c r="C514" s="8"/>
      <c r="D514" s="8"/>
      <c r="E514" s="3"/>
      <c r="F514" s="3"/>
      <c r="G514" s="8"/>
      <c r="H514" s="8"/>
      <c r="I514" s="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24" customHeight="1" x14ac:dyDescent="0.25">
      <c r="A515" s="3"/>
      <c r="B515" s="8"/>
      <c r="C515" s="8"/>
      <c r="D515" s="8"/>
      <c r="E515" s="3"/>
      <c r="F515" s="3"/>
      <c r="G515" s="8"/>
      <c r="H515" s="8"/>
      <c r="I515" s="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24" customHeight="1" x14ac:dyDescent="0.25">
      <c r="A516" s="3"/>
      <c r="B516" s="8"/>
      <c r="C516" s="8"/>
      <c r="D516" s="8"/>
      <c r="E516" s="3"/>
      <c r="F516" s="3"/>
      <c r="G516" s="8"/>
      <c r="H516" s="8"/>
      <c r="I516" s="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24" customHeight="1" x14ac:dyDescent="0.25">
      <c r="A517" s="3"/>
      <c r="B517" s="8"/>
      <c r="C517" s="8"/>
      <c r="D517" s="8"/>
      <c r="E517" s="3"/>
      <c r="F517" s="3"/>
      <c r="G517" s="8"/>
      <c r="H517" s="8"/>
      <c r="I517" s="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24" customHeight="1" x14ac:dyDescent="0.25">
      <c r="A518" s="3"/>
      <c r="B518" s="8"/>
      <c r="C518" s="8"/>
      <c r="D518" s="8"/>
      <c r="E518" s="3"/>
      <c r="F518" s="3"/>
      <c r="G518" s="8"/>
      <c r="H518" s="8"/>
      <c r="I518" s="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24" customHeight="1" x14ac:dyDescent="0.25">
      <c r="A519" s="3"/>
      <c r="B519" s="8"/>
      <c r="C519" s="8"/>
      <c r="D519" s="8"/>
      <c r="E519" s="3"/>
      <c r="F519" s="3"/>
      <c r="G519" s="8"/>
      <c r="H519" s="8"/>
      <c r="I519" s="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24" customHeight="1" x14ac:dyDescent="0.25">
      <c r="A520" s="3"/>
      <c r="B520" s="8"/>
      <c r="C520" s="8"/>
      <c r="D520" s="8"/>
      <c r="E520" s="3"/>
      <c r="F520" s="3"/>
      <c r="G520" s="8"/>
      <c r="H520" s="8"/>
      <c r="I520" s="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24" customHeight="1" x14ac:dyDescent="0.25">
      <c r="A521" s="3"/>
      <c r="B521" s="8"/>
      <c r="C521" s="8"/>
      <c r="D521" s="8"/>
      <c r="E521" s="3"/>
      <c r="F521" s="3"/>
      <c r="G521" s="8"/>
      <c r="H521" s="8"/>
      <c r="I521" s="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24" customHeight="1" x14ac:dyDescent="0.25">
      <c r="A522" s="3"/>
      <c r="B522" s="8"/>
      <c r="C522" s="8"/>
      <c r="D522" s="8"/>
      <c r="E522" s="3"/>
      <c r="F522" s="3"/>
      <c r="G522" s="8"/>
      <c r="H522" s="8"/>
      <c r="I522" s="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24" customHeight="1" x14ac:dyDescent="0.25">
      <c r="A523" s="3"/>
      <c r="B523" s="8"/>
      <c r="C523" s="8"/>
      <c r="D523" s="8"/>
      <c r="E523" s="3"/>
      <c r="F523" s="3"/>
      <c r="G523" s="8"/>
      <c r="H523" s="8"/>
      <c r="I523" s="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24" customHeight="1" x14ac:dyDescent="0.25">
      <c r="A524" s="3"/>
      <c r="B524" s="8"/>
      <c r="C524" s="8"/>
      <c r="D524" s="8"/>
      <c r="E524" s="3"/>
      <c r="F524" s="3"/>
      <c r="G524" s="8"/>
      <c r="H524" s="8"/>
      <c r="I524" s="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24" customHeight="1" x14ac:dyDescent="0.25">
      <c r="A525" s="3"/>
      <c r="B525" s="8"/>
      <c r="C525" s="8"/>
      <c r="D525" s="8"/>
      <c r="E525" s="3"/>
      <c r="F525" s="3"/>
      <c r="G525" s="8"/>
      <c r="H525" s="8"/>
      <c r="I525" s="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24" customHeight="1" x14ac:dyDescent="0.25">
      <c r="A526" s="3"/>
      <c r="B526" s="8"/>
      <c r="C526" s="8"/>
      <c r="D526" s="8"/>
      <c r="E526" s="3"/>
      <c r="F526" s="3"/>
      <c r="G526" s="8"/>
      <c r="H526" s="8"/>
      <c r="I526" s="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24" customHeight="1" x14ac:dyDescent="0.25">
      <c r="A527" s="3"/>
      <c r="B527" s="8"/>
      <c r="C527" s="8"/>
      <c r="D527" s="8"/>
      <c r="E527" s="3"/>
      <c r="F527" s="3"/>
      <c r="G527" s="8"/>
      <c r="H527" s="8"/>
      <c r="I527" s="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24" customHeight="1" x14ac:dyDescent="0.25">
      <c r="A528" s="3"/>
      <c r="B528" s="8"/>
      <c r="C528" s="8"/>
      <c r="D528" s="8"/>
      <c r="E528" s="3"/>
      <c r="F528" s="3"/>
      <c r="G528" s="8"/>
      <c r="H528" s="8"/>
      <c r="I528" s="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24" customHeight="1" x14ac:dyDescent="0.25">
      <c r="A529" s="3"/>
      <c r="B529" s="8"/>
      <c r="C529" s="8"/>
      <c r="D529" s="8"/>
      <c r="E529" s="3"/>
      <c r="F529" s="3"/>
      <c r="G529" s="8"/>
      <c r="H529" s="8"/>
      <c r="I529" s="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24" customHeight="1" x14ac:dyDescent="0.25">
      <c r="A530" s="3"/>
      <c r="B530" s="8"/>
      <c r="C530" s="8"/>
      <c r="D530" s="8"/>
      <c r="E530" s="3"/>
      <c r="F530" s="3"/>
      <c r="G530" s="8"/>
      <c r="H530" s="8"/>
      <c r="I530" s="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24" customHeight="1" x14ac:dyDescent="0.25">
      <c r="A531" s="3"/>
      <c r="B531" s="8"/>
      <c r="C531" s="8"/>
      <c r="D531" s="8"/>
      <c r="E531" s="3"/>
      <c r="F531" s="3"/>
      <c r="G531" s="8"/>
      <c r="H531" s="8"/>
      <c r="I531" s="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24" customHeight="1" x14ac:dyDescent="0.25">
      <c r="A532" s="3"/>
      <c r="B532" s="8"/>
      <c r="C532" s="8"/>
      <c r="D532" s="8"/>
      <c r="E532" s="3"/>
      <c r="F532" s="3"/>
      <c r="G532" s="8"/>
      <c r="H532" s="8"/>
      <c r="I532" s="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24" customHeight="1" x14ac:dyDescent="0.25">
      <c r="A533" s="3"/>
      <c r="B533" s="8"/>
      <c r="C533" s="8"/>
      <c r="D533" s="8"/>
      <c r="E533" s="3"/>
      <c r="F533" s="3"/>
      <c r="G533" s="8"/>
      <c r="H533" s="8"/>
      <c r="I533" s="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24" customHeight="1" x14ac:dyDescent="0.25">
      <c r="A534" s="3"/>
      <c r="B534" s="8"/>
      <c r="C534" s="8"/>
      <c r="D534" s="8"/>
      <c r="E534" s="3"/>
      <c r="F534" s="3"/>
      <c r="G534" s="8"/>
      <c r="H534" s="8"/>
      <c r="I534" s="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24" customHeight="1" x14ac:dyDescent="0.25">
      <c r="A535" s="3"/>
      <c r="B535" s="8"/>
      <c r="C535" s="8"/>
      <c r="D535" s="8"/>
      <c r="E535" s="3"/>
      <c r="F535" s="3"/>
      <c r="G535" s="8"/>
      <c r="H535" s="8"/>
      <c r="I535" s="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24" customHeight="1" x14ac:dyDescent="0.25">
      <c r="A536" s="3"/>
      <c r="B536" s="8"/>
      <c r="C536" s="8"/>
      <c r="D536" s="8"/>
      <c r="E536" s="3"/>
      <c r="F536" s="3"/>
      <c r="G536" s="8"/>
      <c r="H536" s="8"/>
      <c r="I536" s="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24" customHeight="1" x14ac:dyDescent="0.25">
      <c r="A537" s="3"/>
      <c r="B537" s="8"/>
      <c r="C537" s="8"/>
      <c r="D537" s="8"/>
      <c r="E537" s="3"/>
      <c r="F537" s="3"/>
      <c r="G537" s="8"/>
      <c r="H537" s="8"/>
      <c r="I537" s="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24" customHeight="1" x14ac:dyDescent="0.25">
      <c r="A538" s="3"/>
      <c r="B538" s="8"/>
      <c r="C538" s="8"/>
      <c r="D538" s="8"/>
      <c r="E538" s="3"/>
      <c r="F538" s="3"/>
      <c r="G538" s="8"/>
      <c r="H538" s="8"/>
      <c r="I538" s="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24" customHeight="1" x14ac:dyDescent="0.25">
      <c r="A539" s="3"/>
      <c r="B539" s="8"/>
      <c r="C539" s="8"/>
      <c r="D539" s="8"/>
      <c r="E539" s="3"/>
      <c r="F539" s="3"/>
      <c r="G539" s="8"/>
      <c r="H539" s="8"/>
      <c r="I539" s="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24" customHeight="1" x14ac:dyDescent="0.25">
      <c r="A540" s="3"/>
      <c r="B540" s="8"/>
      <c r="C540" s="8"/>
      <c r="D540" s="8"/>
      <c r="E540" s="3"/>
      <c r="F540" s="3"/>
      <c r="G540" s="8"/>
      <c r="H540" s="8"/>
      <c r="I540" s="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24" customHeight="1" x14ac:dyDescent="0.25">
      <c r="A541" s="3"/>
      <c r="B541" s="8"/>
      <c r="C541" s="8"/>
      <c r="D541" s="8"/>
      <c r="E541" s="3"/>
      <c r="F541" s="3"/>
      <c r="G541" s="8"/>
      <c r="H541" s="8"/>
      <c r="I541" s="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24" customHeight="1" x14ac:dyDescent="0.25">
      <c r="A542" s="3"/>
      <c r="B542" s="8"/>
      <c r="C542" s="8"/>
      <c r="D542" s="8"/>
      <c r="E542" s="3"/>
      <c r="F542" s="3"/>
      <c r="G542" s="8"/>
      <c r="H542" s="8"/>
      <c r="I542" s="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24" customHeight="1" x14ac:dyDescent="0.25">
      <c r="A543" s="3"/>
      <c r="B543" s="8"/>
      <c r="C543" s="8"/>
      <c r="D543" s="8"/>
      <c r="E543" s="3"/>
      <c r="F543" s="3"/>
      <c r="G543" s="8"/>
      <c r="H543" s="8"/>
      <c r="I543" s="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24" customHeight="1" x14ac:dyDescent="0.25">
      <c r="A544" s="3"/>
      <c r="B544" s="8"/>
      <c r="C544" s="8"/>
      <c r="D544" s="8"/>
      <c r="E544" s="3"/>
      <c r="F544" s="3"/>
      <c r="G544" s="8"/>
      <c r="H544" s="8"/>
      <c r="I544" s="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24" customHeight="1" x14ac:dyDescent="0.25">
      <c r="A545" s="3"/>
      <c r="B545" s="8"/>
      <c r="C545" s="8"/>
      <c r="D545" s="8"/>
      <c r="E545" s="3"/>
      <c r="F545" s="3"/>
      <c r="G545" s="8"/>
      <c r="H545" s="8"/>
      <c r="I545" s="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24" customHeight="1" x14ac:dyDescent="0.25">
      <c r="A546" s="3"/>
      <c r="B546" s="8"/>
      <c r="C546" s="8"/>
      <c r="D546" s="8"/>
      <c r="E546" s="3"/>
      <c r="F546" s="3"/>
      <c r="G546" s="8"/>
      <c r="H546" s="8"/>
      <c r="I546" s="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24" customHeight="1" x14ac:dyDescent="0.25">
      <c r="A547" s="3"/>
      <c r="B547" s="8"/>
      <c r="C547" s="8"/>
      <c r="D547" s="8"/>
      <c r="E547" s="3"/>
      <c r="F547" s="3"/>
      <c r="G547" s="8"/>
      <c r="H547" s="8"/>
      <c r="I547" s="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24" customHeight="1" x14ac:dyDescent="0.25">
      <c r="A548" s="3"/>
      <c r="B548" s="8"/>
      <c r="C548" s="8"/>
      <c r="D548" s="8"/>
      <c r="E548" s="3"/>
      <c r="F548" s="3"/>
      <c r="G548" s="8"/>
      <c r="H548" s="8"/>
      <c r="I548" s="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24" customHeight="1" x14ac:dyDescent="0.25">
      <c r="A549" s="3"/>
      <c r="B549" s="8"/>
      <c r="C549" s="8"/>
      <c r="D549" s="8"/>
      <c r="E549" s="3"/>
      <c r="F549" s="3"/>
      <c r="G549" s="8"/>
      <c r="H549" s="8"/>
      <c r="I549" s="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24" customHeight="1" x14ac:dyDescent="0.25">
      <c r="A550" s="3"/>
      <c r="B550" s="8"/>
      <c r="C550" s="8"/>
      <c r="D550" s="8"/>
      <c r="E550" s="3"/>
      <c r="F550" s="3"/>
      <c r="G550" s="8"/>
      <c r="H550" s="8"/>
      <c r="I550" s="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24" customHeight="1" x14ac:dyDescent="0.25">
      <c r="A551" s="3"/>
      <c r="B551" s="8"/>
      <c r="C551" s="8"/>
      <c r="D551" s="8"/>
      <c r="E551" s="3"/>
      <c r="F551" s="3"/>
      <c r="G551" s="8"/>
      <c r="H551" s="8"/>
      <c r="I551" s="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24" customHeight="1" x14ac:dyDescent="0.25">
      <c r="A552" s="3"/>
      <c r="B552" s="8"/>
      <c r="C552" s="8"/>
      <c r="D552" s="8"/>
      <c r="E552" s="3"/>
      <c r="F552" s="3"/>
      <c r="G552" s="8"/>
      <c r="H552" s="8"/>
      <c r="I552" s="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24" customHeight="1" x14ac:dyDescent="0.25">
      <c r="A553" s="3"/>
      <c r="B553" s="8"/>
      <c r="C553" s="8"/>
      <c r="D553" s="8"/>
      <c r="E553" s="3"/>
      <c r="F553" s="3"/>
      <c r="G553" s="8"/>
      <c r="H553" s="8"/>
      <c r="I553" s="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24" customHeight="1" x14ac:dyDescent="0.25">
      <c r="A554" s="3"/>
      <c r="B554" s="8"/>
      <c r="C554" s="8"/>
      <c r="D554" s="8"/>
      <c r="E554" s="3"/>
      <c r="F554" s="3"/>
      <c r="G554" s="8"/>
      <c r="H554" s="8"/>
      <c r="I554" s="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24" customHeight="1" x14ac:dyDescent="0.25">
      <c r="A555" s="3"/>
      <c r="B555" s="8"/>
      <c r="C555" s="8"/>
      <c r="D555" s="8"/>
      <c r="E555" s="3"/>
      <c r="F555" s="3"/>
      <c r="G555" s="8"/>
      <c r="H555" s="8"/>
      <c r="I555" s="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24" customHeight="1" x14ac:dyDescent="0.25">
      <c r="A556" s="3"/>
      <c r="B556" s="8"/>
      <c r="C556" s="8"/>
      <c r="D556" s="8"/>
      <c r="E556" s="3"/>
      <c r="F556" s="3"/>
      <c r="G556" s="8"/>
      <c r="H556" s="8"/>
      <c r="I556" s="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24" customHeight="1" x14ac:dyDescent="0.25">
      <c r="A557" s="3"/>
      <c r="B557" s="8"/>
      <c r="C557" s="8"/>
      <c r="D557" s="8"/>
      <c r="E557" s="3"/>
      <c r="F557" s="3"/>
      <c r="G557" s="8"/>
      <c r="H557" s="8"/>
      <c r="I557" s="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24" customHeight="1" x14ac:dyDescent="0.25">
      <c r="A558" s="3"/>
      <c r="B558" s="8"/>
      <c r="C558" s="8"/>
      <c r="D558" s="8"/>
      <c r="E558" s="3"/>
      <c r="F558" s="3"/>
      <c r="G558" s="8"/>
      <c r="H558" s="8"/>
      <c r="I558" s="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24" customHeight="1" x14ac:dyDescent="0.25">
      <c r="A559" s="3"/>
      <c r="B559" s="8"/>
      <c r="C559" s="8"/>
      <c r="D559" s="8"/>
      <c r="E559" s="3"/>
      <c r="F559" s="3"/>
      <c r="G559" s="8"/>
      <c r="H559" s="8"/>
      <c r="I559" s="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24" customHeight="1" x14ac:dyDescent="0.25">
      <c r="A560" s="3"/>
      <c r="B560" s="8"/>
      <c r="C560" s="8"/>
      <c r="D560" s="8"/>
      <c r="E560" s="3"/>
      <c r="F560" s="3"/>
      <c r="G560" s="8"/>
      <c r="H560" s="8"/>
      <c r="I560" s="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24" customHeight="1" x14ac:dyDescent="0.25">
      <c r="A561" s="3"/>
      <c r="B561" s="8"/>
      <c r="C561" s="8"/>
      <c r="D561" s="8"/>
      <c r="E561" s="3"/>
      <c r="F561" s="3"/>
      <c r="G561" s="8"/>
      <c r="H561" s="8"/>
      <c r="I561" s="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24" customHeight="1" x14ac:dyDescent="0.25">
      <c r="A562" s="3"/>
      <c r="B562" s="8"/>
      <c r="C562" s="8"/>
      <c r="D562" s="8"/>
      <c r="E562" s="3"/>
      <c r="F562" s="3"/>
      <c r="G562" s="8"/>
      <c r="H562" s="8"/>
      <c r="I562" s="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24" customHeight="1" x14ac:dyDescent="0.25">
      <c r="A563" s="3"/>
      <c r="B563" s="8"/>
      <c r="C563" s="8"/>
      <c r="D563" s="8"/>
      <c r="E563" s="3"/>
      <c r="F563" s="3"/>
      <c r="G563" s="8"/>
      <c r="H563" s="8"/>
      <c r="I563" s="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24" customHeight="1" x14ac:dyDescent="0.25">
      <c r="A564" s="3"/>
      <c r="B564" s="8"/>
      <c r="C564" s="8"/>
      <c r="D564" s="8"/>
      <c r="E564" s="3"/>
      <c r="F564" s="3"/>
      <c r="G564" s="8"/>
      <c r="H564" s="8"/>
      <c r="I564" s="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24" customHeight="1" x14ac:dyDescent="0.25">
      <c r="A565" s="3"/>
      <c r="B565" s="8"/>
      <c r="C565" s="8"/>
      <c r="D565" s="8"/>
      <c r="E565" s="3"/>
      <c r="F565" s="3"/>
      <c r="G565" s="8"/>
      <c r="H565" s="8"/>
      <c r="I565" s="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24" customHeight="1" x14ac:dyDescent="0.25">
      <c r="A566" s="3"/>
      <c r="B566" s="8"/>
      <c r="C566" s="8"/>
      <c r="D566" s="8"/>
      <c r="E566" s="3"/>
      <c r="F566" s="3"/>
      <c r="G566" s="8"/>
      <c r="H566" s="8"/>
      <c r="I566" s="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24" customHeight="1" x14ac:dyDescent="0.25">
      <c r="A567" s="3"/>
      <c r="B567" s="8"/>
      <c r="C567" s="8"/>
      <c r="D567" s="8"/>
      <c r="E567" s="3"/>
      <c r="F567" s="3"/>
      <c r="G567" s="8"/>
      <c r="H567" s="8"/>
      <c r="I567" s="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24" customHeight="1" x14ac:dyDescent="0.25">
      <c r="A568" s="3"/>
      <c r="B568" s="8"/>
      <c r="C568" s="8"/>
      <c r="D568" s="8"/>
      <c r="E568" s="3"/>
      <c r="F568" s="3"/>
      <c r="G568" s="8"/>
      <c r="H568" s="8"/>
      <c r="I568" s="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24" customHeight="1" x14ac:dyDescent="0.25">
      <c r="A569" s="3"/>
      <c r="B569" s="8"/>
      <c r="C569" s="8"/>
      <c r="D569" s="8"/>
      <c r="E569" s="3"/>
      <c r="F569" s="3"/>
      <c r="G569" s="8"/>
      <c r="H569" s="8"/>
      <c r="I569" s="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24" customHeight="1" x14ac:dyDescent="0.25">
      <c r="A570" s="3"/>
      <c r="B570" s="8"/>
      <c r="C570" s="8"/>
      <c r="D570" s="8"/>
      <c r="E570" s="3"/>
      <c r="F570" s="3"/>
      <c r="G570" s="8"/>
      <c r="H570" s="8"/>
      <c r="I570" s="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24" customHeight="1" x14ac:dyDescent="0.25">
      <c r="A571" s="3"/>
      <c r="B571" s="8"/>
      <c r="C571" s="8"/>
      <c r="D571" s="8"/>
      <c r="E571" s="3"/>
      <c r="F571" s="3"/>
      <c r="G571" s="8"/>
      <c r="H571" s="8"/>
      <c r="I571" s="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24" customHeight="1" x14ac:dyDescent="0.25">
      <c r="A572" s="3"/>
      <c r="B572" s="8"/>
      <c r="C572" s="8"/>
      <c r="D572" s="8"/>
      <c r="E572" s="3"/>
      <c r="F572" s="3"/>
      <c r="G572" s="8"/>
      <c r="H572" s="8"/>
      <c r="I572" s="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24" customHeight="1" x14ac:dyDescent="0.25">
      <c r="A573" s="3"/>
      <c r="B573" s="8"/>
      <c r="C573" s="8"/>
      <c r="D573" s="8"/>
      <c r="E573" s="3"/>
      <c r="F573" s="3"/>
      <c r="G573" s="8"/>
      <c r="H573" s="8"/>
      <c r="I573" s="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24" customHeight="1" x14ac:dyDescent="0.25">
      <c r="A574" s="3"/>
      <c r="B574" s="8"/>
      <c r="C574" s="8"/>
      <c r="D574" s="8"/>
      <c r="E574" s="3"/>
      <c r="F574" s="3"/>
      <c r="G574" s="8"/>
      <c r="H574" s="8"/>
      <c r="I574" s="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24" customHeight="1" x14ac:dyDescent="0.25">
      <c r="A575" s="3"/>
      <c r="B575" s="8"/>
      <c r="C575" s="8"/>
      <c r="D575" s="8"/>
      <c r="E575" s="3"/>
      <c r="F575" s="3"/>
      <c r="G575" s="8"/>
      <c r="H575" s="8"/>
      <c r="I575" s="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24" customHeight="1" x14ac:dyDescent="0.25">
      <c r="A576" s="3"/>
      <c r="B576" s="8"/>
      <c r="C576" s="8"/>
      <c r="D576" s="8"/>
      <c r="E576" s="3"/>
      <c r="F576" s="3"/>
      <c r="G576" s="8"/>
      <c r="H576" s="8"/>
      <c r="I576" s="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24" customHeight="1" x14ac:dyDescent="0.25">
      <c r="A577" s="3"/>
      <c r="B577" s="8"/>
      <c r="C577" s="8"/>
      <c r="D577" s="8"/>
      <c r="E577" s="3"/>
      <c r="F577" s="3"/>
      <c r="G577" s="8"/>
      <c r="H577" s="8"/>
      <c r="I577" s="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24" customHeight="1" x14ac:dyDescent="0.25">
      <c r="A578" s="3"/>
      <c r="B578" s="8"/>
      <c r="C578" s="8"/>
      <c r="D578" s="8"/>
      <c r="E578" s="3"/>
      <c r="F578" s="3"/>
      <c r="G578" s="8"/>
      <c r="H578" s="8"/>
      <c r="I578" s="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24" customHeight="1" x14ac:dyDescent="0.25">
      <c r="A579" s="3"/>
      <c r="B579" s="8"/>
      <c r="C579" s="8"/>
      <c r="D579" s="8"/>
      <c r="E579" s="3"/>
      <c r="F579" s="3"/>
      <c r="G579" s="8"/>
      <c r="H579" s="8"/>
      <c r="I579" s="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24" customHeight="1" x14ac:dyDescent="0.25">
      <c r="A580" s="3"/>
      <c r="B580" s="8"/>
      <c r="C580" s="8"/>
      <c r="D580" s="8"/>
      <c r="E580" s="3"/>
      <c r="F580" s="3"/>
      <c r="G580" s="8"/>
      <c r="H580" s="8"/>
      <c r="I580" s="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24" customHeight="1" x14ac:dyDescent="0.25">
      <c r="A581" s="3"/>
      <c r="B581" s="8"/>
      <c r="C581" s="8"/>
      <c r="D581" s="8"/>
      <c r="E581" s="3"/>
      <c r="F581" s="3"/>
      <c r="G581" s="8"/>
      <c r="H581" s="8"/>
      <c r="I581" s="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24" customHeight="1" x14ac:dyDescent="0.25">
      <c r="A582" s="3"/>
      <c r="B582" s="8"/>
      <c r="C582" s="8"/>
      <c r="D582" s="8"/>
      <c r="E582" s="3"/>
      <c r="F582" s="3"/>
      <c r="G582" s="8"/>
      <c r="H582" s="8"/>
      <c r="I582" s="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24" customHeight="1" x14ac:dyDescent="0.25">
      <c r="A583" s="3"/>
      <c r="B583" s="8"/>
      <c r="C583" s="8"/>
      <c r="D583" s="8"/>
      <c r="E583" s="3"/>
      <c r="F583" s="3"/>
      <c r="G583" s="8"/>
      <c r="H583" s="8"/>
      <c r="I583" s="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24" customHeight="1" x14ac:dyDescent="0.25">
      <c r="A584" s="3"/>
      <c r="B584" s="8"/>
      <c r="C584" s="8"/>
      <c r="D584" s="8"/>
      <c r="E584" s="3"/>
      <c r="F584" s="3"/>
      <c r="G584" s="8"/>
      <c r="H584" s="8"/>
      <c r="I584" s="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24" customHeight="1" x14ac:dyDescent="0.25">
      <c r="A585" s="3"/>
      <c r="B585" s="8"/>
      <c r="C585" s="8"/>
      <c r="D585" s="8"/>
      <c r="E585" s="3"/>
      <c r="F585" s="3"/>
      <c r="G585" s="8"/>
      <c r="H585" s="8"/>
      <c r="I585" s="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24" customHeight="1" x14ac:dyDescent="0.25">
      <c r="A586" s="3"/>
      <c r="B586" s="8"/>
      <c r="C586" s="8"/>
      <c r="D586" s="8"/>
      <c r="E586" s="3"/>
      <c r="F586" s="3"/>
      <c r="G586" s="8"/>
      <c r="H586" s="8"/>
      <c r="I586" s="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24" customHeight="1" x14ac:dyDescent="0.25">
      <c r="A587" s="3"/>
      <c r="B587" s="8"/>
      <c r="C587" s="8"/>
      <c r="D587" s="8"/>
      <c r="E587" s="3"/>
      <c r="F587" s="3"/>
      <c r="G587" s="8"/>
      <c r="H587" s="8"/>
      <c r="I587" s="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24" customHeight="1" x14ac:dyDescent="0.25">
      <c r="A588" s="3"/>
      <c r="B588" s="8"/>
      <c r="C588" s="8"/>
      <c r="D588" s="8"/>
      <c r="E588" s="3"/>
      <c r="F588" s="3"/>
      <c r="G588" s="8"/>
      <c r="H588" s="8"/>
      <c r="I588" s="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24" customHeight="1" x14ac:dyDescent="0.25">
      <c r="A589" s="3"/>
      <c r="B589" s="8"/>
      <c r="C589" s="8"/>
      <c r="D589" s="8"/>
      <c r="E589" s="3"/>
      <c r="F589" s="3"/>
      <c r="G589" s="8"/>
      <c r="H589" s="8"/>
      <c r="I589" s="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24" customHeight="1" x14ac:dyDescent="0.25">
      <c r="A590" s="3"/>
      <c r="B590" s="8"/>
      <c r="C590" s="8"/>
      <c r="D590" s="8"/>
      <c r="E590" s="3"/>
      <c r="F590" s="3"/>
      <c r="G590" s="8"/>
      <c r="H590" s="8"/>
      <c r="I590" s="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24" customHeight="1" x14ac:dyDescent="0.25">
      <c r="A591" s="3"/>
      <c r="B591" s="8"/>
      <c r="C591" s="8"/>
      <c r="D591" s="8"/>
      <c r="E591" s="3"/>
      <c r="F591" s="3"/>
      <c r="G591" s="8"/>
      <c r="H591" s="8"/>
      <c r="I591" s="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24" customHeight="1" x14ac:dyDescent="0.25">
      <c r="A592" s="3"/>
      <c r="B592" s="8"/>
      <c r="C592" s="8"/>
      <c r="D592" s="8"/>
      <c r="E592" s="3"/>
      <c r="F592" s="3"/>
      <c r="G592" s="8"/>
      <c r="H592" s="8"/>
      <c r="I592" s="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24" customHeight="1" x14ac:dyDescent="0.25">
      <c r="A593" s="3"/>
      <c r="B593" s="8"/>
      <c r="C593" s="8"/>
      <c r="D593" s="8"/>
      <c r="E593" s="3"/>
      <c r="F593" s="3"/>
      <c r="G593" s="8"/>
      <c r="H593" s="8"/>
      <c r="I593" s="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24" customHeight="1" x14ac:dyDescent="0.25">
      <c r="A594" s="3"/>
      <c r="B594" s="8"/>
      <c r="C594" s="8"/>
      <c r="D594" s="8"/>
      <c r="E594" s="3"/>
      <c r="F594" s="3"/>
      <c r="G594" s="8"/>
      <c r="H594" s="8"/>
      <c r="I594" s="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24" customHeight="1" x14ac:dyDescent="0.25">
      <c r="A595" s="3"/>
      <c r="B595" s="8"/>
      <c r="C595" s="8"/>
      <c r="D595" s="8"/>
      <c r="E595" s="3"/>
      <c r="F595" s="3"/>
      <c r="G595" s="8"/>
      <c r="H595" s="8"/>
      <c r="I595" s="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24" customHeight="1" x14ac:dyDescent="0.25">
      <c r="A596" s="3"/>
      <c r="B596" s="8"/>
      <c r="C596" s="8"/>
      <c r="D596" s="8"/>
      <c r="E596" s="3"/>
      <c r="F596" s="3"/>
      <c r="G596" s="8"/>
      <c r="H596" s="8"/>
      <c r="I596" s="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24" customHeight="1" x14ac:dyDescent="0.25">
      <c r="A597" s="3"/>
      <c r="B597" s="8"/>
      <c r="C597" s="8"/>
      <c r="D597" s="8"/>
      <c r="E597" s="3"/>
      <c r="F597" s="3"/>
      <c r="G597" s="8"/>
      <c r="H597" s="8"/>
      <c r="I597" s="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24" customHeight="1" x14ac:dyDescent="0.25">
      <c r="A598" s="3"/>
      <c r="B598" s="8"/>
      <c r="C598" s="8"/>
      <c r="D598" s="8"/>
      <c r="E598" s="3"/>
      <c r="F598" s="3"/>
      <c r="G598" s="8"/>
      <c r="H598" s="8"/>
      <c r="I598" s="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24" customHeight="1" x14ac:dyDescent="0.25">
      <c r="A599" s="3"/>
      <c r="B599" s="8"/>
      <c r="C599" s="8"/>
      <c r="D599" s="8"/>
      <c r="E599" s="3"/>
      <c r="F599" s="3"/>
      <c r="G599" s="8"/>
      <c r="H599" s="8"/>
      <c r="I599" s="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24" customHeight="1" x14ac:dyDescent="0.25">
      <c r="A600" s="3"/>
      <c r="B600" s="8"/>
      <c r="C600" s="8"/>
      <c r="D600" s="8"/>
      <c r="E600" s="3"/>
      <c r="F600" s="3"/>
      <c r="G600" s="8"/>
      <c r="H600" s="8"/>
      <c r="I600" s="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24" customHeight="1" x14ac:dyDescent="0.25">
      <c r="A601" s="3"/>
      <c r="B601" s="8"/>
      <c r="C601" s="8"/>
      <c r="D601" s="8"/>
      <c r="E601" s="3"/>
      <c r="F601" s="3"/>
      <c r="G601" s="8"/>
      <c r="H601" s="8"/>
      <c r="I601" s="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24" customHeight="1" x14ac:dyDescent="0.25">
      <c r="A602" s="3"/>
      <c r="B602" s="8"/>
      <c r="C602" s="8"/>
      <c r="D602" s="8"/>
      <c r="E602" s="3"/>
      <c r="F602" s="3"/>
      <c r="G602" s="8"/>
      <c r="H602" s="8"/>
      <c r="I602" s="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24" customHeight="1" x14ac:dyDescent="0.25">
      <c r="A603" s="3"/>
      <c r="B603" s="8"/>
      <c r="C603" s="8"/>
      <c r="D603" s="8"/>
      <c r="E603" s="3"/>
      <c r="F603" s="3"/>
      <c r="G603" s="8"/>
      <c r="H603" s="8"/>
      <c r="I603" s="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24" customHeight="1" x14ac:dyDescent="0.25">
      <c r="A604" s="3"/>
      <c r="B604" s="8"/>
      <c r="C604" s="8"/>
      <c r="D604" s="8"/>
      <c r="E604" s="3"/>
      <c r="F604" s="3"/>
      <c r="G604" s="8"/>
      <c r="H604" s="8"/>
      <c r="I604" s="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24" customHeight="1" x14ac:dyDescent="0.25">
      <c r="A605" s="3"/>
      <c r="B605" s="8"/>
      <c r="C605" s="8"/>
      <c r="D605" s="8"/>
      <c r="E605" s="3"/>
      <c r="F605" s="3"/>
      <c r="G605" s="8"/>
      <c r="H605" s="8"/>
      <c r="I605" s="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24" customHeight="1" x14ac:dyDescent="0.25">
      <c r="A606" s="3"/>
      <c r="B606" s="8"/>
      <c r="C606" s="8"/>
      <c r="D606" s="8"/>
      <c r="E606" s="3"/>
      <c r="F606" s="3"/>
      <c r="G606" s="8"/>
      <c r="H606" s="8"/>
      <c r="I606" s="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24" customHeight="1" x14ac:dyDescent="0.25">
      <c r="A607" s="3"/>
      <c r="B607" s="8"/>
      <c r="C607" s="8"/>
      <c r="D607" s="8"/>
      <c r="E607" s="3"/>
      <c r="F607" s="3"/>
      <c r="G607" s="8"/>
      <c r="H607" s="8"/>
      <c r="I607" s="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24" customHeight="1" x14ac:dyDescent="0.25">
      <c r="A608" s="3"/>
      <c r="B608" s="8"/>
      <c r="C608" s="8"/>
      <c r="D608" s="8"/>
      <c r="E608" s="3"/>
      <c r="F608" s="3"/>
      <c r="G608" s="8"/>
      <c r="H608" s="8"/>
      <c r="I608" s="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24" customHeight="1" x14ac:dyDescent="0.25">
      <c r="A609" s="3"/>
      <c r="B609" s="8"/>
      <c r="C609" s="8"/>
      <c r="D609" s="8"/>
      <c r="E609" s="3"/>
      <c r="F609" s="3"/>
      <c r="G609" s="8"/>
      <c r="H609" s="8"/>
      <c r="I609" s="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24" customHeight="1" x14ac:dyDescent="0.25">
      <c r="A610" s="3"/>
      <c r="B610" s="8"/>
      <c r="C610" s="8"/>
      <c r="D610" s="8"/>
      <c r="E610" s="3"/>
      <c r="F610" s="3"/>
      <c r="G610" s="8"/>
      <c r="H610" s="8"/>
      <c r="I610" s="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24" customHeight="1" x14ac:dyDescent="0.25">
      <c r="A611" s="3"/>
      <c r="B611" s="8"/>
      <c r="C611" s="8"/>
      <c r="D611" s="8"/>
      <c r="E611" s="3"/>
      <c r="F611" s="3"/>
      <c r="G611" s="8"/>
      <c r="H611" s="8"/>
      <c r="I611" s="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24" customHeight="1" x14ac:dyDescent="0.25">
      <c r="A612" s="3"/>
      <c r="B612" s="8"/>
      <c r="C612" s="8"/>
      <c r="D612" s="8"/>
      <c r="E612" s="3"/>
      <c r="F612" s="3"/>
      <c r="G612" s="8"/>
      <c r="H612" s="8"/>
      <c r="I612" s="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24" customHeight="1" x14ac:dyDescent="0.25">
      <c r="A613" s="3"/>
      <c r="B613" s="8"/>
      <c r="C613" s="8"/>
      <c r="D613" s="8"/>
      <c r="E613" s="3"/>
      <c r="F613" s="3"/>
      <c r="G613" s="8"/>
      <c r="H613" s="8"/>
      <c r="I613" s="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24" customHeight="1" x14ac:dyDescent="0.25">
      <c r="A614" s="3"/>
      <c r="B614" s="8"/>
      <c r="C614" s="8"/>
      <c r="D614" s="8"/>
      <c r="E614" s="3"/>
      <c r="F614" s="3"/>
      <c r="G614" s="8"/>
      <c r="H614" s="8"/>
      <c r="I614" s="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24" customHeight="1" x14ac:dyDescent="0.25">
      <c r="A615" s="3"/>
      <c r="B615" s="8"/>
      <c r="C615" s="8"/>
      <c r="D615" s="8"/>
      <c r="E615" s="3"/>
      <c r="F615" s="3"/>
      <c r="G615" s="8"/>
      <c r="H615" s="8"/>
      <c r="I615" s="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24" customHeight="1" x14ac:dyDescent="0.25">
      <c r="A616" s="3"/>
      <c r="B616" s="8"/>
      <c r="C616" s="8"/>
      <c r="D616" s="8"/>
      <c r="E616" s="3"/>
      <c r="F616" s="3"/>
      <c r="G616" s="8"/>
      <c r="H616" s="8"/>
      <c r="I616" s="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24" customHeight="1" x14ac:dyDescent="0.25">
      <c r="A617" s="3"/>
      <c r="B617" s="8"/>
      <c r="C617" s="8"/>
      <c r="D617" s="8"/>
      <c r="E617" s="3"/>
      <c r="F617" s="3"/>
      <c r="G617" s="8"/>
      <c r="H617" s="8"/>
      <c r="I617" s="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24" customHeight="1" x14ac:dyDescent="0.25">
      <c r="A618" s="3"/>
      <c r="B618" s="8"/>
      <c r="C618" s="8"/>
      <c r="D618" s="8"/>
      <c r="E618" s="3"/>
      <c r="F618" s="3"/>
      <c r="G618" s="8"/>
      <c r="H618" s="8"/>
      <c r="I618" s="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24" customHeight="1" x14ac:dyDescent="0.25">
      <c r="A619" s="3"/>
      <c r="B619" s="8"/>
      <c r="C619" s="8"/>
      <c r="D619" s="8"/>
      <c r="E619" s="3"/>
      <c r="F619" s="3"/>
      <c r="G619" s="8"/>
      <c r="H619" s="8"/>
      <c r="I619" s="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24" customHeight="1" x14ac:dyDescent="0.25">
      <c r="A620" s="3"/>
      <c r="B620" s="8"/>
      <c r="C620" s="8"/>
      <c r="D620" s="8"/>
      <c r="E620" s="3"/>
      <c r="F620" s="3"/>
      <c r="G620" s="8"/>
      <c r="H620" s="8"/>
      <c r="I620" s="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24" customHeight="1" x14ac:dyDescent="0.25">
      <c r="A621" s="3"/>
      <c r="B621" s="8"/>
      <c r="C621" s="8"/>
      <c r="D621" s="8"/>
      <c r="E621" s="3"/>
      <c r="F621" s="3"/>
      <c r="G621" s="8"/>
      <c r="H621" s="8"/>
      <c r="I621" s="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24" customHeight="1" x14ac:dyDescent="0.25">
      <c r="A622" s="3"/>
      <c r="B622" s="8"/>
      <c r="C622" s="8"/>
      <c r="D622" s="8"/>
      <c r="E622" s="3"/>
      <c r="F622" s="3"/>
      <c r="G622" s="8"/>
      <c r="H622" s="8"/>
      <c r="I622" s="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24" customHeight="1" x14ac:dyDescent="0.25">
      <c r="A623" s="3"/>
      <c r="B623" s="8"/>
      <c r="C623" s="8"/>
      <c r="D623" s="8"/>
      <c r="E623" s="3"/>
      <c r="F623" s="3"/>
      <c r="G623" s="8"/>
      <c r="H623" s="8"/>
      <c r="I623" s="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24" customHeight="1" x14ac:dyDescent="0.25">
      <c r="A624" s="3"/>
      <c r="B624" s="8"/>
      <c r="C624" s="8"/>
      <c r="D624" s="8"/>
      <c r="E624" s="3"/>
      <c r="F624" s="3"/>
      <c r="G624" s="8"/>
      <c r="H624" s="8"/>
      <c r="I624" s="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24" customHeight="1" x14ac:dyDescent="0.25">
      <c r="A625" s="3"/>
      <c r="B625" s="8"/>
      <c r="C625" s="8"/>
      <c r="D625" s="8"/>
      <c r="E625" s="3"/>
      <c r="F625" s="3"/>
      <c r="G625" s="8"/>
      <c r="H625" s="8"/>
      <c r="I625" s="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24" customHeight="1" x14ac:dyDescent="0.25">
      <c r="A626" s="3"/>
      <c r="B626" s="8"/>
      <c r="C626" s="8"/>
      <c r="D626" s="8"/>
      <c r="E626" s="3"/>
      <c r="F626" s="3"/>
      <c r="G626" s="8"/>
      <c r="H626" s="8"/>
      <c r="I626" s="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24" customHeight="1" x14ac:dyDescent="0.25">
      <c r="A627" s="3"/>
      <c r="B627" s="8"/>
      <c r="C627" s="8"/>
      <c r="D627" s="8"/>
      <c r="E627" s="3"/>
      <c r="F627" s="3"/>
      <c r="G627" s="8"/>
      <c r="H627" s="8"/>
      <c r="I627" s="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24" customHeight="1" x14ac:dyDescent="0.25">
      <c r="A628" s="3"/>
      <c r="B628" s="8"/>
      <c r="C628" s="8"/>
      <c r="D628" s="8"/>
      <c r="E628" s="3"/>
      <c r="F628" s="3"/>
      <c r="G628" s="8"/>
      <c r="H628" s="8"/>
      <c r="I628" s="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24" customHeight="1" x14ac:dyDescent="0.25">
      <c r="A629" s="3"/>
      <c r="B629" s="8"/>
      <c r="C629" s="8"/>
      <c r="D629" s="8"/>
      <c r="E629" s="3"/>
      <c r="F629" s="3"/>
      <c r="G629" s="8"/>
      <c r="H629" s="8"/>
      <c r="I629" s="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24" customHeight="1" x14ac:dyDescent="0.25">
      <c r="A630" s="3"/>
      <c r="B630" s="8"/>
      <c r="C630" s="8"/>
      <c r="D630" s="8"/>
      <c r="E630" s="3"/>
      <c r="F630" s="3"/>
      <c r="G630" s="8"/>
      <c r="H630" s="8"/>
      <c r="I630" s="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24" customHeight="1" x14ac:dyDescent="0.25">
      <c r="A631" s="3"/>
      <c r="B631" s="8"/>
      <c r="C631" s="8"/>
      <c r="D631" s="8"/>
      <c r="E631" s="3"/>
      <c r="F631" s="3"/>
      <c r="G631" s="8"/>
      <c r="H631" s="8"/>
      <c r="I631" s="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24" customHeight="1" x14ac:dyDescent="0.25">
      <c r="A632" s="3"/>
      <c r="B632" s="8"/>
      <c r="C632" s="8"/>
      <c r="D632" s="8"/>
      <c r="E632" s="3"/>
      <c r="F632" s="3"/>
      <c r="G632" s="8"/>
      <c r="H632" s="8"/>
      <c r="I632" s="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24" customHeight="1" x14ac:dyDescent="0.25">
      <c r="A633" s="3"/>
      <c r="B633" s="8"/>
      <c r="C633" s="8"/>
      <c r="D633" s="8"/>
      <c r="E633" s="3"/>
      <c r="F633" s="3"/>
      <c r="G633" s="8"/>
      <c r="H633" s="8"/>
      <c r="I633" s="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24" customHeight="1" x14ac:dyDescent="0.25">
      <c r="A634" s="3"/>
      <c r="B634" s="8"/>
      <c r="C634" s="8"/>
      <c r="D634" s="8"/>
      <c r="E634" s="3"/>
      <c r="F634" s="3"/>
      <c r="G634" s="8"/>
      <c r="H634" s="8"/>
      <c r="I634" s="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24" customHeight="1" x14ac:dyDescent="0.25">
      <c r="A635" s="3"/>
      <c r="B635" s="8"/>
      <c r="C635" s="8"/>
      <c r="D635" s="8"/>
      <c r="E635" s="3"/>
      <c r="F635" s="3"/>
      <c r="G635" s="8"/>
      <c r="H635" s="8"/>
      <c r="I635" s="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24" customHeight="1" x14ac:dyDescent="0.25">
      <c r="A636" s="3"/>
      <c r="B636" s="8"/>
      <c r="C636" s="8"/>
      <c r="D636" s="8"/>
      <c r="E636" s="3"/>
      <c r="F636" s="3"/>
      <c r="G636" s="8"/>
      <c r="H636" s="8"/>
      <c r="I636" s="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24" customHeight="1" x14ac:dyDescent="0.25">
      <c r="A637" s="3"/>
      <c r="B637" s="8"/>
      <c r="C637" s="8"/>
      <c r="D637" s="8"/>
      <c r="E637" s="3"/>
      <c r="F637" s="3"/>
      <c r="G637" s="8"/>
      <c r="H637" s="8"/>
      <c r="I637" s="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24" customHeight="1" x14ac:dyDescent="0.25">
      <c r="A638" s="3"/>
      <c r="B638" s="8"/>
      <c r="C638" s="8"/>
      <c r="D638" s="8"/>
      <c r="E638" s="3"/>
      <c r="F638" s="3"/>
      <c r="G638" s="8"/>
      <c r="H638" s="8"/>
      <c r="I638" s="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24" customHeight="1" x14ac:dyDescent="0.25">
      <c r="A639" s="3"/>
      <c r="B639" s="8"/>
      <c r="C639" s="8"/>
      <c r="D639" s="8"/>
      <c r="E639" s="3"/>
      <c r="F639" s="3"/>
      <c r="G639" s="8"/>
      <c r="H639" s="8"/>
      <c r="I639" s="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24" customHeight="1" x14ac:dyDescent="0.25">
      <c r="A640" s="3"/>
      <c r="B640" s="8"/>
      <c r="C640" s="8"/>
      <c r="D640" s="8"/>
      <c r="E640" s="3"/>
      <c r="F640" s="3"/>
      <c r="G640" s="8"/>
      <c r="H640" s="8"/>
      <c r="I640" s="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24" customHeight="1" x14ac:dyDescent="0.25">
      <c r="A641" s="3"/>
      <c r="B641" s="8"/>
      <c r="C641" s="8"/>
      <c r="D641" s="8"/>
      <c r="E641" s="3"/>
      <c r="F641" s="3"/>
      <c r="G641" s="8"/>
      <c r="H641" s="8"/>
      <c r="I641" s="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24" customHeight="1" x14ac:dyDescent="0.25">
      <c r="A642" s="3"/>
      <c r="B642" s="8"/>
      <c r="C642" s="8"/>
      <c r="D642" s="8"/>
      <c r="E642" s="3"/>
      <c r="F642" s="3"/>
      <c r="G642" s="8"/>
      <c r="H642" s="8"/>
      <c r="I642" s="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24" customHeight="1" x14ac:dyDescent="0.25">
      <c r="A643" s="3"/>
      <c r="B643" s="8"/>
      <c r="C643" s="8"/>
      <c r="D643" s="8"/>
      <c r="E643" s="3"/>
      <c r="F643" s="3"/>
      <c r="G643" s="8"/>
      <c r="H643" s="8"/>
      <c r="I643" s="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24" customHeight="1" x14ac:dyDescent="0.25">
      <c r="A644" s="3"/>
      <c r="B644" s="8"/>
      <c r="C644" s="8"/>
      <c r="D644" s="8"/>
      <c r="E644" s="3"/>
      <c r="F644" s="3"/>
      <c r="G644" s="8"/>
      <c r="H644" s="8"/>
      <c r="I644" s="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24" customHeight="1" x14ac:dyDescent="0.25">
      <c r="A645" s="3"/>
      <c r="B645" s="8"/>
      <c r="C645" s="8"/>
      <c r="D645" s="8"/>
      <c r="E645" s="3"/>
      <c r="F645" s="3"/>
      <c r="G645" s="8"/>
      <c r="H645" s="8"/>
      <c r="I645" s="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24" customHeight="1" x14ac:dyDescent="0.25">
      <c r="A646" s="3"/>
      <c r="B646" s="8"/>
      <c r="C646" s="8"/>
      <c r="D646" s="8"/>
      <c r="E646" s="3"/>
      <c r="F646" s="3"/>
      <c r="G646" s="8"/>
      <c r="H646" s="8"/>
      <c r="I646" s="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24" customHeight="1" x14ac:dyDescent="0.25">
      <c r="A647" s="3"/>
      <c r="B647" s="8"/>
      <c r="C647" s="8"/>
      <c r="D647" s="8"/>
      <c r="E647" s="3"/>
      <c r="F647" s="3"/>
      <c r="G647" s="8"/>
      <c r="H647" s="8"/>
      <c r="I647" s="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24" customHeight="1" x14ac:dyDescent="0.25">
      <c r="A648" s="3"/>
      <c r="B648" s="8"/>
      <c r="C648" s="8"/>
      <c r="D648" s="8"/>
      <c r="E648" s="3"/>
      <c r="F648" s="3"/>
      <c r="G648" s="8"/>
      <c r="H648" s="8"/>
      <c r="I648" s="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24" customHeight="1" x14ac:dyDescent="0.25">
      <c r="A649" s="3"/>
      <c r="B649" s="8"/>
      <c r="C649" s="8"/>
      <c r="D649" s="8"/>
      <c r="E649" s="3"/>
      <c r="F649" s="3"/>
      <c r="G649" s="8"/>
      <c r="H649" s="8"/>
      <c r="I649" s="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24" customHeight="1" x14ac:dyDescent="0.25">
      <c r="A650" s="3"/>
      <c r="B650" s="8"/>
      <c r="C650" s="8"/>
      <c r="D650" s="8"/>
      <c r="E650" s="3"/>
      <c r="F650" s="3"/>
      <c r="G650" s="8"/>
      <c r="H650" s="8"/>
      <c r="I650" s="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24" customHeight="1" x14ac:dyDescent="0.25">
      <c r="A651" s="3"/>
      <c r="B651" s="8"/>
      <c r="C651" s="8"/>
      <c r="D651" s="8"/>
      <c r="E651" s="3"/>
      <c r="F651" s="3"/>
      <c r="G651" s="8"/>
      <c r="H651" s="8"/>
      <c r="I651" s="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24" customHeight="1" x14ac:dyDescent="0.25">
      <c r="A652" s="3"/>
      <c r="B652" s="8"/>
      <c r="C652" s="8"/>
      <c r="D652" s="8"/>
      <c r="E652" s="3"/>
      <c r="F652" s="3"/>
      <c r="G652" s="8"/>
      <c r="H652" s="8"/>
      <c r="I652" s="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24" customHeight="1" x14ac:dyDescent="0.25">
      <c r="A653" s="3"/>
      <c r="B653" s="8"/>
      <c r="C653" s="8"/>
      <c r="D653" s="8"/>
      <c r="E653" s="3"/>
      <c r="F653" s="3"/>
      <c r="G653" s="8"/>
      <c r="H653" s="8"/>
      <c r="I653" s="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24" customHeight="1" x14ac:dyDescent="0.25">
      <c r="A654" s="3"/>
      <c r="B654" s="8"/>
      <c r="C654" s="8"/>
      <c r="D654" s="8"/>
      <c r="E654" s="3"/>
      <c r="F654" s="3"/>
      <c r="G654" s="8"/>
      <c r="H654" s="8"/>
      <c r="I654" s="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24" customHeight="1" x14ac:dyDescent="0.25">
      <c r="A655" s="3"/>
      <c r="B655" s="8"/>
      <c r="C655" s="8"/>
      <c r="D655" s="8"/>
      <c r="E655" s="3"/>
      <c r="F655" s="3"/>
      <c r="G655" s="8"/>
      <c r="H655" s="8"/>
      <c r="I655" s="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24" customHeight="1" x14ac:dyDescent="0.25">
      <c r="A656" s="3"/>
      <c r="B656" s="8"/>
      <c r="C656" s="8"/>
      <c r="D656" s="8"/>
      <c r="E656" s="3"/>
      <c r="F656" s="3"/>
      <c r="G656" s="8"/>
      <c r="H656" s="8"/>
      <c r="I656" s="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24" customHeight="1" x14ac:dyDescent="0.25">
      <c r="A657" s="3"/>
      <c r="B657" s="8"/>
      <c r="C657" s="8"/>
      <c r="D657" s="8"/>
      <c r="E657" s="3"/>
      <c r="F657" s="3"/>
      <c r="G657" s="8"/>
      <c r="H657" s="8"/>
      <c r="I657" s="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24" customHeight="1" x14ac:dyDescent="0.25">
      <c r="A658" s="3"/>
      <c r="B658" s="8"/>
      <c r="C658" s="8"/>
      <c r="D658" s="8"/>
      <c r="E658" s="3"/>
      <c r="F658" s="3"/>
      <c r="G658" s="8"/>
      <c r="H658" s="8"/>
      <c r="I658" s="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24" customHeight="1" x14ac:dyDescent="0.25">
      <c r="A659" s="3"/>
      <c r="B659" s="8"/>
      <c r="C659" s="8"/>
      <c r="D659" s="8"/>
      <c r="E659" s="3"/>
      <c r="F659" s="3"/>
      <c r="G659" s="8"/>
      <c r="H659" s="8"/>
      <c r="I659" s="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24" customHeight="1" x14ac:dyDescent="0.25">
      <c r="A660" s="3"/>
      <c r="B660" s="8"/>
      <c r="C660" s="8"/>
      <c r="D660" s="8"/>
      <c r="E660" s="3"/>
      <c r="F660" s="3"/>
      <c r="G660" s="8"/>
      <c r="H660" s="8"/>
      <c r="I660" s="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24" customHeight="1" x14ac:dyDescent="0.25">
      <c r="A661" s="3"/>
      <c r="B661" s="8"/>
      <c r="C661" s="8"/>
      <c r="D661" s="8"/>
      <c r="E661" s="3"/>
      <c r="F661" s="3"/>
      <c r="G661" s="8"/>
      <c r="H661" s="8"/>
      <c r="I661" s="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24" customHeight="1" x14ac:dyDescent="0.25">
      <c r="A662" s="3"/>
      <c r="B662" s="8"/>
      <c r="C662" s="8"/>
      <c r="D662" s="8"/>
      <c r="E662" s="3"/>
      <c r="F662" s="3"/>
      <c r="G662" s="8"/>
      <c r="H662" s="8"/>
      <c r="I662" s="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24" customHeight="1" x14ac:dyDescent="0.25">
      <c r="A663" s="3"/>
      <c r="B663" s="8"/>
      <c r="C663" s="8"/>
      <c r="D663" s="8"/>
      <c r="E663" s="3"/>
      <c r="F663" s="3"/>
      <c r="G663" s="8"/>
      <c r="H663" s="8"/>
      <c r="I663" s="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24" customHeight="1" x14ac:dyDescent="0.25">
      <c r="A664" s="3"/>
      <c r="B664" s="8"/>
      <c r="C664" s="8"/>
      <c r="D664" s="8"/>
      <c r="E664" s="3"/>
      <c r="F664" s="3"/>
      <c r="G664" s="8"/>
      <c r="H664" s="8"/>
      <c r="I664" s="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24" customHeight="1" x14ac:dyDescent="0.25">
      <c r="A665" s="3"/>
      <c r="B665" s="8"/>
      <c r="C665" s="8"/>
      <c r="D665" s="8"/>
      <c r="E665" s="3"/>
      <c r="F665" s="3"/>
      <c r="G665" s="8"/>
      <c r="H665" s="8"/>
      <c r="I665" s="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24" customHeight="1" x14ac:dyDescent="0.25">
      <c r="A666" s="3"/>
      <c r="B666" s="8"/>
      <c r="C666" s="8"/>
      <c r="D666" s="8"/>
      <c r="E666" s="3"/>
      <c r="F666" s="3"/>
      <c r="G666" s="8"/>
      <c r="H666" s="8"/>
      <c r="I666" s="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24" customHeight="1" x14ac:dyDescent="0.25">
      <c r="A667" s="3"/>
      <c r="B667" s="8"/>
      <c r="C667" s="8"/>
      <c r="D667" s="8"/>
      <c r="E667" s="3"/>
      <c r="F667" s="3"/>
      <c r="G667" s="8"/>
      <c r="H667" s="8"/>
      <c r="I667" s="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24" customHeight="1" x14ac:dyDescent="0.25">
      <c r="A668" s="3"/>
      <c r="B668" s="8"/>
      <c r="C668" s="8"/>
      <c r="D668" s="8"/>
      <c r="E668" s="3"/>
      <c r="F668" s="3"/>
      <c r="G668" s="8"/>
      <c r="H668" s="8"/>
      <c r="I668" s="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24" customHeight="1" x14ac:dyDescent="0.25">
      <c r="A669" s="3"/>
      <c r="B669" s="8"/>
      <c r="C669" s="8"/>
      <c r="D669" s="8"/>
      <c r="E669" s="3"/>
      <c r="F669" s="3"/>
      <c r="G669" s="8"/>
      <c r="H669" s="8"/>
      <c r="I669" s="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24" customHeight="1" x14ac:dyDescent="0.25">
      <c r="A670" s="3"/>
      <c r="B670" s="8"/>
      <c r="C670" s="8"/>
      <c r="D670" s="8"/>
      <c r="E670" s="3"/>
      <c r="F670" s="3"/>
      <c r="G670" s="8"/>
      <c r="H670" s="8"/>
      <c r="I670" s="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24" customHeight="1" x14ac:dyDescent="0.25">
      <c r="A671" s="3"/>
      <c r="B671" s="8"/>
      <c r="C671" s="8"/>
      <c r="D671" s="8"/>
      <c r="E671" s="3"/>
      <c r="F671" s="3"/>
      <c r="G671" s="8"/>
      <c r="H671" s="8"/>
      <c r="I671" s="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24" customHeight="1" x14ac:dyDescent="0.25">
      <c r="A672" s="3"/>
      <c r="B672" s="8"/>
      <c r="C672" s="8"/>
      <c r="D672" s="8"/>
      <c r="E672" s="3"/>
      <c r="F672" s="3"/>
      <c r="G672" s="8"/>
      <c r="H672" s="8"/>
      <c r="I672" s="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24" customHeight="1" x14ac:dyDescent="0.25">
      <c r="A673" s="3"/>
      <c r="B673" s="8"/>
      <c r="C673" s="8"/>
      <c r="D673" s="8"/>
      <c r="E673" s="3"/>
      <c r="F673" s="3"/>
      <c r="G673" s="8"/>
      <c r="H673" s="8"/>
      <c r="I673" s="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24" customHeight="1" x14ac:dyDescent="0.25">
      <c r="A674" s="3"/>
      <c r="B674" s="8"/>
      <c r="C674" s="8"/>
      <c r="D674" s="8"/>
      <c r="E674" s="3"/>
      <c r="F674" s="3"/>
      <c r="G674" s="8"/>
      <c r="H674" s="8"/>
      <c r="I674" s="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24" customHeight="1" x14ac:dyDescent="0.25">
      <c r="A675" s="3"/>
      <c r="B675" s="8"/>
      <c r="C675" s="8"/>
      <c r="D675" s="8"/>
      <c r="E675" s="3"/>
      <c r="F675" s="3"/>
      <c r="G675" s="8"/>
      <c r="H675" s="8"/>
      <c r="I675" s="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24" customHeight="1" x14ac:dyDescent="0.25">
      <c r="A676" s="3"/>
      <c r="B676" s="8"/>
      <c r="C676" s="8"/>
      <c r="D676" s="8"/>
      <c r="E676" s="3"/>
      <c r="F676" s="3"/>
      <c r="G676" s="8"/>
      <c r="H676" s="8"/>
      <c r="I676" s="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24" customHeight="1" x14ac:dyDescent="0.25">
      <c r="A677" s="3"/>
      <c r="B677" s="8"/>
      <c r="C677" s="8"/>
      <c r="D677" s="8"/>
      <c r="E677" s="3"/>
      <c r="F677" s="3"/>
      <c r="G677" s="8"/>
      <c r="H677" s="8"/>
      <c r="I677" s="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24" customHeight="1" x14ac:dyDescent="0.25">
      <c r="A678" s="3"/>
      <c r="B678" s="8"/>
      <c r="C678" s="8"/>
      <c r="D678" s="8"/>
      <c r="E678" s="3"/>
      <c r="F678" s="3"/>
      <c r="G678" s="8"/>
      <c r="H678" s="8"/>
      <c r="I678" s="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24" customHeight="1" x14ac:dyDescent="0.25">
      <c r="A679" s="3"/>
      <c r="B679" s="8"/>
      <c r="C679" s="8"/>
      <c r="D679" s="8"/>
      <c r="E679" s="3"/>
      <c r="F679" s="3"/>
      <c r="G679" s="8"/>
      <c r="H679" s="8"/>
      <c r="I679" s="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24" customHeight="1" x14ac:dyDescent="0.25">
      <c r="A680" s="3"/>
      <c r="B680" s="8"/>
      <c r="C680" s="8"/>
      <c r="D680" s="8"/>
      <c r="E680" s="3"/>
      <c r="F680" s="3"/>
      <c r="G680" s="8"/>
      <c r="H680" s="8"/>
      <c r="I680" s="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24" customHeight="1" x14ac:dyDescent="0.25">
      <c r="A681" s="3"/>
      <c r="B681" s="8"/>
      <c r="C681" s="8"/>
      <c r="D681" s="8"/>
      <c r="E681" s="3"/>
      <c r="F681" s="3"/>
      <c r="G681" s="8"/>
      <c r="H681" s="8"/>
      <c r="I681" s="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24" customHeight="1" x14ac:dyDescent="0.25">
      <c r="A682" s="3"/>
      <c r="B682" s="8"/>
      <c r="C682" s="8"/>
      <c r="D682" s="8"/>
      <c r="E682" s="3"/>
      <c r="F682" s="3"/>
      <c r="G682" s="8"/>
      <c r="H682" s="8"/>
      <c r="I682" s="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24" customHeight="1" x14ac:dyDescent="0.25">
      <c r="A683" s="3"/>
      <c r="B683" s="8"/>
      <c r="C683" s="8"/>
      <c r="D683" s="8"/>
      <c r="E683" s="3"/>
      <c r="F683" s="3"/>
      <c r="G683" s="8"/>
      <c r="H683" s="8"/>
      <c r="I683" s="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24" customHeight="1" x14ac:dyDescent="0.25">
      <c r="A684" s="3"/>
      <c r="B684" s="8"/>
      <c r="C684" s="8"/>
      <c r="D684" s="8"/>
      <c r="E684" s="3"/>
      <c r="F684" s="3"/>
      <c r="G684" s="8"/>
      <c r="H684" s="8"/>
      <c r="I684" s="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24" customHeight="1" x14ac:dyDescent="0.25">
      <c r="A685" s="3"/>
      <c r="B685" s="8"/>
      <c r="C685" s="8"/>
      <c r="D685" s="8"/>
      <c r="E685" s="3"/>
      <c r="F685" s="3"/>
      <c r="G685" s="8"/>
      <c r="H685" s="8"/>
      <c r="I685" s="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24" customHeight="1" x14ac:dyDescent="0.25">
      <c r="A686" s="3"/>
      <c r="B686" s="8"/>
      <c r="C686" s="8"/>
      <c r="D686" s="8"/>
      <c r="E686" s="3"/>
      <c r="F686" s="3"/>
      <c r="G686" s="8"/>
      <c r="H686" s="8"/>
      <c r="I686" s="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24" customHeight="1" x14ac:dyDescent="0.25">
      <c r="A687" s="3"/>
      <c r="B687" s="8"/>
      <c r="C687" s="8"/>
      <c r="D687" s="8"/>
      <c r="E687" s="3"/>
      <c r="F687" s="3"/>
      <c r="G687" s="8"/>
      <c r="H687" s="8"/>
      <c r="I687" s="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24" customHeight="1" x14ac:dyDescent="0.25">
      <c r="A688" s="3"/>
      <c r="B688" s="8"/>
      <c r="C688" s="8"/>
      <c r="D688" s="8"/>
      <c r="E688" s="3"/>
      <c r="F688" s="3"/>
      <c r="G688" s="8"/>
      <c r="H688" s="8"/>
      <c r="I688" s="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24" customHeight="1" x14ac:dyDescent="0.25">
      <c r="A689" s="3"/>
      <c r="B689" s="8"/>
      <c r="C689" s="8"/>
      <c r="D689" s="8"/>
      <c r="E689" s="3"/>
      <c r="F689" s="3"/>
      <c r="G689" s="8"/>
      <c r="H689" s="8"/>
      <c r="I689" s="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24" customHeight="1" x14ac:dyDescent="0.25">
      <c r="A690" s="3"/>
      <c r="B690" s="8"/>
      <c r="C690" s="8"/>
      <c r="D690" s="8"/>
      <c r="E690" s="3"/>
      <c r="F690" s="3"/>
      <c r="G690" s="8"/>
      <c r="H690" s="8"/>
      <c r="I690" s="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24" customHeight="1" x14ac:dyDescent="0.25">
      <c r="A691" s="3"/>
      <c r="B691" s="8"/>
      <c r="C691" s="8"/>
      <c r="D691" s="8"/>
      <c r="E691" s="3"/>
      <c r="F691" s="3"/>
      <c r="G691" s="8"/>
      <c r="H691" s="8"/>
      <c r="I691" s="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24" customHeight="1" x14ac:dyDescent="0.25">
      <c r="A692" s="3"/>
      <c r="B692" s="8"/>
      <c r="C692" s="8"/>
      <c r="D692" s="8"/>
      <c r="E692" s="3"/>
      <c r="F692" s="3"/>
      <c r="G692" s="8"/>
      <c r="H692" s="8"/>
      <c r="I692" s="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24" customHeight="1" x14ac:dyDescent="0.25">
      <c r="A693" s="3"/>
      <c r="B693" s="8"/>
      <c r="C693" s="8"/>
      <c r="D693" s="8"/>
      <c r="E693" s="3"/>
      <c r="F693" s="3"/>
      <c r="G693" s="8"/>
      <c r="H693" s="8"/>
      <c r="I693" s="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24" customHeight="1" x14ac:dyDescent="0.25">
      <c r="A694" s="3"/>
      <c r="B694" s="8"/>
      <c r="C694" s="8"/>
      <c r="D694" s="8"/>
      <c r="E694" s="3"/>
      <c r="F694" s="3"/>
      <c r="G694" s="8"/>
      <c r="H694" s="8"/>
      <c r="I694" s="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24" customHeight="1" x14ac:dyDescent="0.25">
      <c r="A695" s="3"/>
      <c r="B695" s="8"/>
      <c r="C695" s="8"/>
      <c r="D695" s="8"/>
      <c r="E695" s="3"/>
      <c r="F695" s="3"/>
      <c r="G695" s="8"/>
      <c r="H695" s="8"/>
      <c r="I695" s="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24" customHeight="1" x14ac:dyDescent="0.25">
      <c r="A696" s="3"/>
      <c r="B696" s="8"/>
      <c r="C696" s="8"/>
      <c r="D696" s="8"/>
      <c r="E696" s="3"/>
      <c r="F696" s="3"/>
      <c r="G696" s="8"/>
      <c r="H696" s="8"/>
      <c r="I696" s="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24" customHeight="1" x14ac:dyDescent="0.25">
      <c r="A697" s="3"/>
      <c r="B697" s="8"/>
      <c r="C697" s="8"/>
      <c r="D697" s="8"/>
      <c r="E697" s="3"/>
      <c r="F697" s="3"/>
      <c r="G697" s="8"/>
      <c r="H697" s="8"/>
      <c r="I697" s="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24" customHeight="1" x14ac:dyDescent="0.25">
      <c r="A698" s="3"/>
      <c r="B698" s="8"/>
      <c r="C698" s="8"/>
      <c r="D698" s="8"/>
      <c r="E698" s="3"/>
      <c r="F698" s="3"/>
      <c r="G698" s="8"/>
      <c r="H698" s="8"/>
      <c r="I698" s="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24" customHeight="1" x14ac:dyDescent="0.25">
      <c r="A699" s="3"/>
      <c r="B699" s="8"/>
      <c r="C699" s="8"/>
      <c r="D699" s="8"/>
      <c r="E699" s="3"/>
      <c r="F699" s="3"/>
      <c r="G699" s="8"/>
      <c r="H699" s="8"/>
      <c r="I699" s="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24" customHeight="1" x14ac:dyDescent="0.25">
      <c r="A700" s="3"/>
      <c r="B700" s="8"/>
      <c r="C700" s="8"/>
      <c r="D700" s="8"/>
      <c r="E700" s="3"/>
      <c r="F700" s="3"/>
      <c r="G700" s="8"/>
      <c r="H700" s="8"/>
      <c r="I700" s="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24" customHeight="1" x14ac:dyDescent="0.25">
      <c r="A701" s="3"/>
      <c r="B701" s="8"/>
      <c r="C701" s="8"/>
      <c r="D701" s="8"/>
      <c r="E701" s="3"/>
      <c r="F701" s="3"/>
      <c r="G701" s="8"/>
      <c r="H701" s="8"/>
      <c r="I701" s="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24" customHeight="1" x14ac:dyDescent="0.25">
      <c r="A702" s="3"/>
      <c r="B702" s="8"/>
      <c r="C702" s="8"/>
      <c r="D702" s="8"/>
      <c r="E702" s="3"/>
      <c r="F702" s="3"/>
      <c r="G702" s="8"/>
      <c r="H702" s="8"/>
      <c r="I702" s="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24" customHeight="1" x14ac:dyDescent="0.25">
      <c r="A703" s="3"/>
      <c r="B703" s="8"/>
      <c r="C703" s="8"/>
      <c r="D703" s="8"/>
      <c r="E703" s="3"/>
      <c r="F703" s="3"/>
      <c r="G703" s="8"/>
      <c r="H703" s="8"/>
      <c r="I703" s="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24" customHeight="1" x14ac:dyDescent="0.25">
      <c r="A704" s="3"/>
      <c r="B704" s="8"/>
      <c r="C704" s="8"/>
      <c r="D704" s="8"/>
      <c r="E704" s="3"/>
      <c r="F704" s="3"/>
      <c r="G704" s="8"/>
      <c r="H704" s="8"/>
      <c r="I704" s="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24" customHeight="1" x14ac:dyDescent="0.25">
      <c r="A705" s="3"/>
      <c r="B705" s="8"/>
      <c r="C705" s="8"/>
      <c r="D705" s="8"/>
      <c r="E705" s="3"/>
      <c r="F705" s="3"/>
      <c r="G705" s="8"/>
      <c r="H705" s="8"/>
      <c r="I705" s="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24" customHeight="1" x14ac:dyDescent="0.25">
      <c r="A706" s="3"/>
      <c r="B706" s="8"/>
      <c r="C706" s="8"/>
      <c r="D706" s="8"/>
      <c r="E706" s="3"/>
      <c r="F706" s="3"/>
      <c r="G706" s="8"/>
      <c r="H706" s="8"/>
      <c r="I706" s="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24" customHeight="1" x14ac:dyDescent="0.25">
      <c r="A707" s="3"/>
      <c r="B707" s="8"/>
      <c r="C707" s="8"/>
      <c r="D707" s="8"/>
      <c r="E707" s="3"/>
      <c r="F707" s="3"/>
      <c r="G707" s="8"/>
      <c r="H707" s="8"/>
      <c r="I707" s="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24" customHeight="1" x14ac:dyDescent="0.25">
      <c r="A708" s="3"/>
      <c r="B708" s="8"/>
      <c r="C708" s="8"/>
      <c r="D708" s="8"/>
      <c r="E708" s="3"/>
      <c r="F708" s="3"/>
      <c r="G708" s="8"/>
      <c r="H708" s="8"/>
      <c r="I708" s="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24" customHeight="1" x14ac:dyDescent="0.25">
      <c r="A709" s="3"/>
      <c r="B709" s="8"/>
      <c r="C709" s="8"/>
      <c r="D709" s="8"/>
      <c r="E709" s="3"/>
      <c r="F709" s="3"/>
      <c r="G709" s="8"/>
      <c r="H709" s="8"/>
      <c r="I709" s="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24" customHeight="1" x14ac:dyDescent="0.25">
      <c r="A710" s="3"/>
      <c r="B710" s="8"/>
      <c r="C710" s="8"/>
      <c r="D710" s="8"/>
      <c r="E710" s="3"/>
      <c r="F710" s="3"/>
      <c r="G710" s="8"/>
      <c r="H710" s="8"/>
      <c r="I710" s="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24" customHeight="1" x14ac:dyDescent="0.25">
      <c r="A711" s="3"/>
      <c r="B711" s="8"/>
      <c r="C711" s="8"/>
      <c r="D711" s="8"/>
      <c r="E711" s="3"/>
      <c r="F711" s="3"/>
      <c r="G711" s="8"/>
      <c r="H711" s="8"/>
      <c r="I711" s="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24" customHeight="1" x14ac:dyDescent="0.25">
      <c r="A712" s="3"/>
      <c r="B712" s="8"/>
      <c r="C712" s="8"/>
      <c r="D712" s="8"/>
      <c r="E712" s="3"/>
      <c r="F712" s="3"/>
      <c r="G712" s="8"/>
      <c r="H712" s="8"/>
      <c r="I712" s="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24" customHeight="1" x14ac:dyDescent="0.25">
      <c r="A713" s="3"/>
      <c r="B713" s="8"/>
      <c r="C713" s="8"/>
      <c r="D713" s="8"/>
      <c r="E713" s="3"/>
      <c r="F713" s="3"/>
      <c r="G713" s="8"/>
      <c r="H713" s="8"/>
      <c r="I713" s="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24" customHeight="1" x14ac:dyDescent="0.25">
      <c r="A714" s="3"/>
      <c r="B714" s="8"/>
      <c r="C714" s="8"/>
      <c r="D714" s="8"/>
      <c r="E714" s="3"/>
      <c r="F714" s="3"/>
      <c r="G714" s="8"/>
      <c r="H714" s="8"/>
      <c r="I714" s="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24" customHeight="1" x14ac:dyDescent="0.25">
      <c r="A715" s="3"/>
      <c r="B715" s="8"/>
      <c r="C715" s="8"/>
      <c r="D715" s="8"/>
      <c r="E715" s="3"/>
      <c r="F715" s="3"/>
      <c r="G715" s="8"/>
      <c r="H715" s="8"/>
      <c r="I715" s="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24" customHeight="1" x14ac:dyDescent="0.25">
      <c r="A716" s="3"/>
      <c r="B716" s="8"/>
      <c r="C716" s="8"/>
      <c r="D716" s="8"/>
      <c r="E716" s="3"/>
      <c r="F716" s="3"/>
      <c r="G716" s="8"/>
      <c r="H716" s="8"/>
      <c r="I716" s="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24" customHeight="1" x14ac:dyDescent="0.25">
      <c r="A717" s="3"/>
      <c r="B717" s="8"/>
      <c r="C717" s="8"/>
      <c r="D717" s="8"/>
      <c r="E717" s="3"/>
      <c r="F717" s="3"/>
      <c r="G717" s="8"/>
      <c r="H717" s="8"/>
      <c r="I717" s="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24" customHeight="1" x14ac:dyDescent="0.25">
      <c r="A718" s="3"/>
      <c r="B718" s="8"/>
      <c r="C718" s="8"/>
      <c r="D718" s="8"/>
      <c r="E718" s="3"/>
      <c r="F718" s="3"/>
      <c r="G718" s="8"/>
      <c r="H718" s="8"/>
      <c r="I718" s="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24" customHeight="1" x14ac:dyDescent="0.25">
      <c r="A719" s="3"/>
      <c r="B719" s="8"/>
      <c r="C719" s="8"/>
      <c r="D719" s="8"/>
      <c r="E719" s="3"/>
      <c r="F719" s="3"/>
      <c r="G719" s="8"/>
      <c r="H719" s="8"/>
      <c r="I719" s="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24" customHeight="1" x14ac:dyDescent="0.25">
      <c r="A720" s="3"/>
      <c r="B720" s="8"/>
      <c r="C720" s="8"/>
      <c r="D720" s="8"/>
      <c r="E720" s="3"/>
      <c r="F720" s="3"/>
      <c r="G720" s="8"/>
      <c r="H720" s="8"/>
      <c r="I720" s="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24" customHeight="1" x14ac:dyDescent="0.25">
      <c r="A721" s="3"/>
      <c r="B721" s="8"/>
      <c r="C721" s="8"/>
      <c r="D721" s="8"/>
      <c r="E721" s="3"/>
      <c r="F721" s="3"/>
      <c r="G721" s="8"/>
      <c r="H721" s="8"/>
      <c r="I721" s="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24" customHeight="1" x14ac:dyDescent="0.25">
      <c r="A722" s="3"/>
      <c r="B722" s="8"/>
      <c r="C722" s="8"/>
      <c r="D722" s="8"/>
      <c r="E722" s="3"/>
      <c r="F722" s="3"/>
      <c r="G722" s="8"/>
      <c r="H722" s="8"/>
      <c r="I722" s="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24" customHeight="1" x14ac:dyDescent="0.25">
      <c r="A723" s="3"/>
      <c r="B723" s="8"/>
      <c r="C723" s="8"/>
      <c r="D723" s="8"/>
      <c r="E723" s="3"/>
      <c r="F723" s="3"/>
      <c r="G723" s="8"/>
      <c r="H723" s="8"/>
      <c r="I723" s="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24" customHeight="1" x14ac:dyDescent="0.25">
      <c r="A724" s="3"/>
      <c r="B724" s="8"/>
      <c r="C724" s="8"/>
      <c r="D724" s="8"/>
      <c r="E724" s="3"/>
      <c r="F724" s="3"/>
      <c r="G724" s="8"/>
      <c r="H724" s="8"/>
      <c r="I724" s="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24" customHeight="1" x14ac:dyDescent="0.25">
      <c r="A725" s="3"/>
      <c r="B725" s="8"/>
      <c r="C725" s="8"/>
      <c r="D725" s="8"/>
      <c r="E725" s="3"/>
      <c r="F725" s="3"/>
      <c r="G725" s="8"/>
      <c r="H725" s="8"/>
      <c r="I725" s="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24" customHeight="1" x14ac:dyDescent="0.25">
      <c r="A726" s="3"/>
      <c r="B726" s="8"/>
      <c r="C726" s="8"/>
      <c r="D726" s="8"/>
      <c r="E726" s="3"/>
      <c r="F726" s="3"/>
      <c r="G726" s="8"/>
      <c r="H726" s="8"/>
      <c r="I726" s="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24" customHeight="1" x14ac:dyDescent="0.25">
      <c r="A727" s="3"/>
      <c r="B727" s="8"/>
      <c r="C727" s="8"/>
      <c r="D727" s="8"/>
      <c r="E727" s="3"/>
      <c r="F727" s="3"/>
      <c r="G727" s="8"/>
      <c r="H727" s="8"/>
      <c r="I727" s="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24" customHeight="1" x14ac:dyDescent="0.25">
      <c r="A728" s="3"/>
      <c r="B728" s="8"/>
      <c r="C728" s="8"/>
      <c r="D728" s="8"/>
      <c r="E728" s="3"/>
      <c r="F728" s="3"/>
      <c r="G728" s="8"/>
      <c r="H728" s="8"/>
      <c r="I728" s="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24" customHeight="1" x14ac:dyDescent="0.25">
      <c r="A729" s="3"/>
      <c r="B729" s="8"/>
      <c r="C729" s="8"/>
      <c r="D729" s="8"/>
      <c r="E729" s="3"/>
      <c r="F729" s="3"/>
      <c r="G729" s="8"/>
      <c r="H729" s="8"/>
      <c r="I729" s="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24" customHeight="1" x14ac:dyDescent="0.25">
      <c r="A730" s="3"/>
      <c r="B730" s="8"/>
      <c r="C730" s="8"/>
      <c r="D730" s="8"/>
      <c r="E730" s="3"/>
      <c r="F730" s="3"/>
      <c r="G730" s="8"/>
      <c r="H730" s="8"/>
      <c r="I730" s="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24" customHeight="1" x14ac:dyDescent="0.25">
      <c r="A731" s="3"/>
      <c r="B731" s="8"/>
      <c r="C731" s="8"/>
      <c r="D731" s="8"/>
      <c r="E731" s="3"/>
      <c r="F731" s="3"/>
      <c r="G731" s="8"/>
      <c r="H731" s="8"/>
      <c r="I731" s="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24" customHeight="1" x14ac:dyDescent="0.25">
      <c r="A732" s="3"/>
      <c r="B732" s="8"/>
      <c r="C732" s="8"/>
      <c r="D732" s="8"/>
      <c r="E732" s="3"/>
      <c r="F732" s="3"/>
      <c r="G732" s="8"/>
      <c r="H732" s="8"/>
      <c r="I732" s="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24" customHeight="1" x14ac:dyDescent="0.25">
      <c r="A733" s="3"/>
      <c r="B733" s="8"/>
      <c r="C733" s="8"/>
      <c r="D733" s="8"/>
      <c r="E733" s="3"/>
      <c r="F733" s="3"/>
      <c r="G733" s="8"/>
      <c r="H733" s="8"/>
      <c r="I733" s="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24" customHeight="1" x14ac:dyDescent="0.25">
      <c r="A734" s="3"/>
      <c r="B734" s="8"/>
      <c r="C734" s="8"/>
      <c r="D734" s="8"/>
      <c r="E734" s="3"/>
      <c r="F734" s="3"/>
      <c r="G734" s="8"/>
      <c r="H734" s="8"/>
      <c r="I734" s="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24" customHeight="1" x14ac:dyDescent="0.25">
      <c r="A735" s="3"/>
      <c r="B735" s="8"/>
      <c r="C735" s="8"/>
      <c r="D735" s="8"/>
      <c r="E735" s="3"/>
      <c r="F735" s="3"/>
      <c r="G735" s="8"/>
      <c r="H735" s="8"/>
      <c r="I735" s="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24" customHeight="1" x14ac:dyDescent="0.25">
      <c r="A736" s="3"/>
      <c r="B736" s="8"/>
      <c r="C736" s="8"/>
      <c r="D736" s="8"/>
      <c r="E736" s="3"/>
      <c r="F736" s="3"/>
      <c r="G736" s="8"/>
      <c r="H736" s="8"/>
      <c r="I736" s="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24" customHeight="1" x14ac:dyDescent="0.25">
      <c r="A737" s="3"/>
      <c r="B737" s="8"/>
      <c r="C737" s="8"/>
      <c r="D737" s="8"/>
      <c r="E737" s="3"/>
      <c r="F737" s="3"/>
      <c r="G737" s="8"/>
      <c r="H737" s="8"/>
      <c r="I737" s="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24" customHeight="1" x14ac:dyDescent="0.25">
      <c r="A738" s="3"/>
      <c r="B738" s="8"/>
      <c r="C738" s="8"/>
      <c r="D738" s="8"/>
      <c r="E738" s="3"/>
      <c r="F738" s="3"/>
      <c r="G738" s="8"/>
      <c r="H738" s="8"/>
      <c r="I738" s="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24" customHeight="1" x14ac:dyDescent="0.25">
      <c r="A739" s="3"/>
      <c r="B739" s="8"/>
      <c r="C739" s="8"/>
      <c r="D739" s="8"/>
      <c r="E739" s="3"/>
      <c r="F739" s="3"/>
      <c r="G739" s="8"/>
      <c r="H739" s="8"/>
      <c r="I739" s="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24" customHeight="1" x14ac:dyDescent="0.25">
      <c r="A740" s="3"/>
      <c r="B740" s="8"/>
      <c r="C740" s="8"/>
      <c r="D740" s="8"/>
      <c r="E740" s="3"/>
      <c r="F740" s="3"/>
      <c r="G740" s="8"/>
      <c r="H740" s="8"/>
      <c r="I740" s="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24" customHeight="1" x14ac:dyDescent="0.25">
      <c r="A741" s="3"/>
      <c r="B741" s="8"/>
      <c r="C741" s="8"/>
      <c r="D741" s="8"/>
      <c r="E741" s="3"/>
      <c r="F741" s="3"/>
      <c r="G741" s="8"/>
      <c r="H741" s="8"/>
      <c r="I741" s="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24" customHeight="1" x14ac:dyDescent="0.25">
      <c r="A742" s="3"/>
      <c r="B742" s="8"/>
      <c r="C742" s="8"/>
      <c r="D742" s="8"/>
      <c r="E742" s="3"/>
      <c r="F742" s="3"/>
      <c r="G742" s="8"/>
      <c r="H742" s="8"/>
      <c r="I742" s="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24" customHeight="1" x14ac:dyDescent="0.25">
      <c r="A743" s="3"/>
      <c r="B743" s="8"/>
      <c r="C743" s="8"/>
      <c r="D743" s="8"/>
      <c r="E743" s="3"/>
      <c r="F743" s="3"/>
      <c r="G743" s="8"/>
      <c r="H743" s="8"/>
      <c r="I743" s="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24" customHeight="1" x14ac:dyDescent="0.25">
      <c r="A744" s="3"/>
      <c r="B744" s="8"/>
      <c r="C744" s="8"/>
      <c r="D744" s="8"/>
      <c r="E744" s="3"/>
      <c r="F744" s="3"/>
      <c r="G744" s="8"/>
      <c r="H744" s="8"/>
      <c r="I744" s="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24" customHeight="1" x14ac:dyDescent="0.25">
      <c r="A745" s="3"/>
      <c r="B745" s="8"/>
      <c r="C745" s="8"/>
      <c r="D745" s="8"/>
      <c r="E745" s="3"/>
      <c r="F745" s="3"/>
      <c r="G745" s="8"/>
      <c r="H745" s="8"/>
      <c r="I745" s="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24" customHeight="1" x14ac:dyDescent="0.25">
      <c r="A746" s="3"/>
      <c r="B746" s="8"/>
      <c r="C746" s="8"/>
      <c r="D746" s="8"/>
      <c r="E746" s="3"/>
      <c r="F746" s="3"/>
      <c r="G746" s="8"/>
      <c r="H746" s="8"/>
      <c r="I746" s="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24" customHeight="1" x14ac:dyDescent="0.25">
      <c r="A747" s="3"/>
      <c r="B747" s="8"/>
      <c r="C747" s="8"/>
      <c r="D747" s="8"/>
      <c r="E747" s="3"/>
      <c r="F747" s="3"/>
      <c r="G747" s="8"/>
      <c r="H747" s="8"/>
      <c r="I747" s="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24" customHeight="1" x14ac:dyDescent="0.25">
      <c r="A748" s="3"/>
      <c r="B748" s="8"/>
      <c r="C748" s="8"/>
      <c r="D748" s="8"/>
      <c r="E748" s="3"/>
      <c r="F748" s="3"/>
      <c r="G748" s="8"/>
      <c r="H748" s="8"/>
      <c r="I748" s="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24" customHeight="1" x14ac:dyDescent="0.25">
      <c r="A749" s="3"/>
      <c r="B749" s="8"/>
      <c r="C749" s="8"/>
      <c r="D749" s="8"/>
      <c r="E749" s="3"/>
      <c r="F749" s="3"/>
      <c r="G749" s="8"/>
      <c r="H749" s="8"/>
      <c r="I749" s="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24" customHeight="1" x14ac:dyDescent="0.25">
      <c r="A750" s="3"/>
      <c r="B750" s="8"/>
      <c r="C750" s="8"/>
      <c r="D750" s="8"/>
      <c r="E750" s="3"/>
      <c r="F750" s="3"/>
      <c r="G750" s="8"/>
      <c r="H750" s="8"/>
      <c r="I750" s="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24" customHeight="1" x14ac:dyDescent="0.25">
      <c r="A751" s="3"/>
      <c r="B751" s="8"/>
      <c r="C751" s="8"/>
      <c r="D751" s="8"/>
      <c r="E751" s="3"/>
      <c r="F751" s="3"/>
      <c r="G751" s="8"/>
      <c r="H751" s="8"/>
      <c r="I751" s="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24" customHeight="1" x14ac:dyDescent="0.25">
      <c r="A752" s="3"/>
      <c r="B752" s="8"/>
      <c r="C752" s="8"/>
      <c r="D752" s="8"/>
      <c r="E752" s="3"/>
      <c r="F752" s="3"/>
      <c r="G752" s="8"/>
      <c r="H752" s="8"/>
      <c r="I752" s="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24" customHeight="1" x14ac:dyDescent="0.25">
      <c r="A753" s="3"/>
      <c r="B753" s="8"/>
      <c r="C753" s="8"/>
      <c r="D753" s="8"/>
      <c r="E753" s="3"/>
      <c r="F753" s="3"/>
      <c r="G753" s="8"/>
      <c r="H753" s="8"/>
      <c r="I753" s="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24" customHeight="1" x14ac:dyDescent="0.25">
      <c r="A754" s="3"/>
      <c r="B754" s="8"/>
      <c r="C754" s="8"/>
      <c r="D754" s="8"/>
      <c r="E754" s="3"/>
      <c r="F754" s="3"/>
      <c r="G754" s="8"/>
      <c r="H754" s="8"/>
      <c r="I754" s="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24" customHeight="1" x14ac:dyDescent="0.25">
      <c r="A755" s="3"/>
      <c r="B755" s="8"/>
      <c r="C755" s="8"/>
      <c r="D755" s="8"/>
      <c r="E755" s="3"/>
      <c r="F755" s="3"/>
      <c r="G755" s="8"/>
      <c r="H755" s="8"/>
      <c r="I755" s="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24" customHeight="1" x14ac:dyDescent="0.25">
      <c r="A756" s="3"/>
      <c r="B756" s="8"/>
      <c r="C756" s="8"/>
      <c r="D756" s="8"/>
      <c r="E756" s="3"/>
      <c r="F756" s="3"/>
      <c r="G756" s="8"/>
      <c r="H756" s="8"/>
      <c r="I756" s="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24" customHeight="1" x14ac:dyDescent="0.25">
      <c r="A757" s="3"/>
      <c r="B757" s="8"/>
      <c r="C757" s="8"/>
      <c r="D757" s="8"/>
      <c r="E757" s="3"/>
      <c r="F757" s="3"/>
      <c r="G757" s="8"/>
      <c r="H757" s="8"/>
      <c r="I757" s="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24" customHeight="1" x14ac:dyDescent="0.25">
      <c r="A758" s="3"/>
      <c r="B758" s="8"/>
      <c r="C758" s="8"/>
      <c r="D758" s="8"/>
      <c r="E758" s="3"/>
      <c r="F758" s="3"/>
      <c r="G758" s="8"/>
      <c r="H758" s="8"/>
      <c r="I758" s="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24" customHeight="1" x14ac:dyDescent="0.25">
      <c r="A759" s="3"/>
      <c r="B759" s="8"/>
      <c r="C759" s="8"/>
      <c r="D759" s="8"/>
      <c r="E759" s="3"/>
      <c r="F759" s="3"/>
      <c r="G759" s="8"/>
      <c r="H759" s="8"/>
      <c r="I759" s="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24" customHeight="1" x14ac:dyDescent="0.25">
      <c r="A760" s="3"/>
      <c r="B760" s="8"/>
      <c r="C760" s="8"/>
      <c r="D760" s="8"/>
      <c r="E760" s="3"/>
      <c r="F760" s="3"/>
      <c r="G760" s="8"/>
      <c r="H760" s="8"/>
      <c r="I760" s="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24" customHeight="1" x14ac:dyDescent="0.25">
      <c r="A761" s="3"/>
      <c r="B761" s="8"/>
      <c r="C761" s="8"/>
      <c r="D761" s="8"/>
      <c r="E761" s="3"/>
      <c r="F761" s="3"/>
      <c r="G761" s="8"/>
      <c r="H761" s="8"/>
      <c r="I761" s="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24" customHeight="1" x14ac:dyDescent="0.25">
      <c r="A762" s="3"/>
      <c r="B762" s="8"/>
      <c r="C762" s="8"/>
      <c r="D762" s="8"/>
      <c r="E762" s="3"/>
      <c r="F762" s="3"/>
      <c r="G762" s="8"/>
      <c r="H762" s="8"/>
      <c r="I762" s="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24" customHeight="1" x14ac:dyDescent="0.25">
      <c r="A763" s="3"/>
      <c r="B763" s="8"/>
      <c r="C763" s="8"/>
      <c r="D763" s="8"/>
      <c r="E763" s="3"/>
      <c r="F763" s="3"/>
      <c r="G763" s="8"/>
      <c r="H763" s="8"/>
      <c r="I763" s="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24" customHeight="1" x14ac:dyDescent="0.25">
      <c r="A764" s="3"/>
      <c r="B764" s="8"/>
      <c r="C764" s="8"/>
      <c r="D764" s="8"/>
      <c r="E764" s="3"/>
      <c r="F764" s="3"/>
      <c r="G764" s="8"/>
      <c r="H764" s="8"/>
      <c r="I764" s="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24" customHeight="1" x14ac:dyDescent="0.25">
      <c r="A765" s="3"/>
      <c r="B765" s="8"/>
      <c r="C765" s="8"/>
      <c r="D765" s="8"/>
      <c r="E765" s="3"/>
      <c r="F765" s="3"/>
      <c r="G765" s="8"/>
      <c r="H765" s="8"/>
      <c r="I765" s="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24" customHeight="1" x14ac:dyDescent="0.25">
      <c r="A766" s="3"/>
      <c r="B766" s="8"/>
      <c r="C766" s="8"/>
      <c r="D766" s="8"/>
      <c r="E766" s="3"/>
      <c r="F766" s="3"/>
      <c r="G766" s="8"/>
      <c r="H766" s="8"/>
      <c r="I766" s="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24" customHeight="1" x14ac:dyDescent="0.25">
      <c r="A767" s="3"/>
      <c r="B767" s="8"/>
      <c r="C767" s="8"/>
      <c r="D767" s="8"/>
      <c r="E767" s="3"/>
      <c r="F767" s="3"/>
      <c r="G767" s="8"/>
      <c r="H767" s="8"/>
      <c r="I767" s="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24" customHeight="1" x14ac:dyDescent="0.25">
      <c r="A768" s="3"/>
      <c r="B768" s="8"/>
      <c r="C768" s="8"/>
      <c r="D768" s="8"/>
      <c r="E768" s="3"/>
      <c r="F768" s="3"/>
      <c r="G768" s="8"/>
      <c r="H768" s="8"/>
      <c r="I768" s="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24" customHeight="1" x14ac:dyDescent="0.25">
      <c r="A769" s="3"/>
      <c r="B769" s="8"/>
      <c r="C769" s="8"/>
      <c r="D769" s="8"/>
      <c r="E769" s="3"/>
      <c r="F769" s="3"/>
      <c r="G769" s="8"/>
      <c r="H769" s="8"/>
      <c r="I769" s="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24" customHeight="1" x14ac:dyDescent="0.25">
      <c r="A770" s="3"/>
      <c r="B770" s="8"/>
      <c r="C770" s="8"/>
      <c r="D770" s="8"/>
      <c r="E770" s="3"/>
      <c r="F770" s="3"/>
      <c r="G770" s="8"/>
      <c r="H770" s="8"/>
      <c r="I770" s="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24" customHeight="1" x14ac:dyDescent="0.25">
      <c r="A771" s="3"/>
      <c r="B771" s="8"/>
      <c r="C771" s="8"/>
      <c r="D771" s="8"/>
      <c r="E771" s="3"/>
      <c r="F771" s="3"/>
      <c r="G771" s="8"/>
      <c r="H771" s="8"/>
      <c r="I771" s="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24" customHeight="1" x14ac:dyDescent="0.25">
      <c r="A772" s="3"/>
      <c r="B772" s="8"/>
      <c r="C772" s="8"/>
      <c r="D772" s="8"/>
      <c r="E772" s="3"/>
      <c r="F772" s="3"/>
      <c r="G772" s="8"/>
      <c r="H772" s="8"/>
      <c r="I772" s="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24" customHeight="1" x14ac:dyDescent="0.25">
      <c r="A773" s="3"/>
      <c r="B773" s="8"/>
      <c r="C773" s="8"/>
      <c r="D773" s="8"/>
      <c r="E773" s="3"/>
      <c r="F773" s="3"/>
      <c r="G773" s="8"/>
      <c r="H773" s="8"/>
      <c r="I773" s="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24" customHeight="1" x14ac:dyDescent="0.25">
      <c r="A774" s="3"/>
      <c r="B774" s="8"/>
      <c r="C774" s="8"/>
      <c r="D774" s="8"/>
      <c r="E774" s="3"/>
      <c r="F774" s="3"/>
      <c r="G774" s="8"/>
      <c r="H774" s="8"/>
      <c r="I774" s="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24" customHeight="1" x14ac:dyDescent="0.25">
      <c r="A775" s="3"/>
      <c r="B775" s="8"/>
      <c r="C775" s="8"/>
      <c r="D775" s="8"/>
      <c r="E775" s="3"/>
      <c r="F775" s="3"/>
      <c r="G775" s="8"/>
      <c r="H775" s="8"/>
      <c r="I775" s="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24" customHeight="1" x14ac:dyDescent="0.25">
      <c r="A776" s="3"/>
      <c r="B776" s="8"/>
      <c r="C776" s="8"/>
      <c r="D776" s="8"/>
      <c r="E776" s="3"/>
      <c r="F776" s="3"/>
      <c r="G776" s="8"/>
      <c r="H776" s="8"/>
      <c r="I776" s="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24" customHeight="1" x14ac:dyDescent="0.25">
      <c r="A777" s="3"/>
      <c r="B777" s="8"/>
      <c r="C777" s="8"/>
      <c r="D777" s="8"/>
      <c r="E777" s="3"/>
      <c r="F777" s="3"/>
      <c r="G777" s="8"/>
      <c r="H777" s="8"/>
      <c r="I777" s="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24" customHeight="1" x14ac:dyDescent="0.25">
      <c r="A778" s="3"/>
      <c r="B778" s="8"/>
      <c r="C778" s="8"/>
      <c r="D778" s="8"/>
      <c r="E778" s="3"/>
      <c r="F778" s="3"/>
      <c r="G778" s="8"/>
      <c r="H778" s="8"/>
      <c r="I778" s="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24" customHeight="1" x14ac:dyDescent="0.25">
      <c r="A779" s="3"/>
      <c r="B779" s="8"/>
      <c r="C779" s="8"/>
      <c r="D779" s="8"/>
      <c r="E779" s="3"/>
      <c r="F779" s="3"/>
      <c r="G779" s="8"/>
      <c r="H779" s="8"/>
      <c r="I779" s="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24" customHeight="1" x14ac:dyDescent="0.25">
      <c r="A780" s="3"/>
      <c r="B780" s="8"/>
      <c r="C780" s="8"/>
      <c r="D780" s="8"/>
      <c r="E780" s="3"/>
      <c r="F780" s="3"/>
      <c r="G780" s="8"/>
      <c r="H780" s="8"/>
      <c r="I780" s="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24" customHeight="1" x14ac:dyDescent="0.25">
      <c r="A781" s="3"/>
      <c r="B781" s="8"/>
      <c r="C781" s="8"/>
      <c r="D781" s="8"/>
      <c r="E781" s="3"/>
      <c r="F781" s="3"/>
      <c r="G781" s="8"/>
      <c r="H781" s="8"/>
      <c r="I781" s="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24" customHeight="1" x14ac:dyDescent="0.25">
      <c r="A782" s="3"/>
      <c r="B782" s="8"/>
      <c r="C782" s="8"/>
      <c r="D782" s="8"/>
      <c r="E782" s="3"/>
      <c r="F782" s="3"/>
      <c r="G782" s="8"/>
      <c r="H782" s="8"/>
      <c r="I782" s="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24" customHeight="1" x14ac:dyDescent="0.25">
      <c r="A783" s="3"/>
      <c r="B783" s="8"/>
      <c r="C783" s="8"/>
      <c r="D783" s="8"/>
      <c r="E783" s="3"/>
      <c r="F783" s="3"/>
      <c r="G783" s="8"/>
      <c r="H783" s="8"/>
      <c r="I783" s="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24" customHeight="1" x14ac:dyDescent="0.25">
      <c r="A784" s="3"/>
      <c r="B784" s="8"/>
      <c r="C784" s="8"/>
      <c r="D784" s="8"/>
      <c r="E784" s="3"/>
      <c r="F784" s="3"/>
      <c r="G784" s="8"/>
      <c r="H784" s="8"/>
      <c r="I784" s="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24" customHeight="1" x14ac:dyDescent="0.25">
      <c r="A785" s="3"/>
      <c r="B785" s="8"/>
      <c r="C785" s="8"/>
      <c r="D785" s="8"/>
      <c r="E785" s="3"/>
      <c r="F785" s="3"/>
      <c r="G785" s="8"/>
      <c r="H785" s="8"/>
      <c r="I785" s="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24" customHeight="1" x14ac:dyDescent="0.25">
      <c r="A786" s="3"/>
      <c r="B786" s="8"/>
      <c r="C786" s="8"/>
      <c r="D786" s="8"/>
      <c r="E786" s="3"/>
      <c r="F786" s="3"/>
      <c r="G786" s="8"/>
      <c r="H786" s="8"/>
      <c r="I786" s="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24" customHeight="1" x14ac:dyDescent="0.25">
      <c r="A787" s="3"/>
      <c r="B787" s="8"/>
      <c r="C787" s="8"/>
      <c r="D787" s="8"/>
      <c r="E787" s="3"/>
      <c r="F787" s="3"/>
      <c r="G787" s="8"/>
      <c r="H787" s="8"/>
      <c r="I787" s="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24" customHeight="1" x14ac:dyDescent="0.25">
      <c r="A788" s="3"/>
      <c r="B788" s="8"/>
      <c r="C788" s="8"/>
      <c r="D788" s="8"/>
      <c r="E788" s="3"/>
      <c r="F788" s="3"/>
      <c r="G788" s="8"/>
      <c r="H788" s="8"/>
      <c r="I788" s="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24" customHeight="1" x14ac:dyDescent="0.25">
      <c r="A789" s="3"/>
      <c r="B789" s="8"/>
      <c r="C789" s="8"/>
      <c r="D789" s="8"/>
      <c r="E789" s="3"/>
      <c r="F789" s="3"/>
      <c r="G789" s="8"/>
      <c r="H789" s="8"/>
      <c r="I789" s="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24" customHeight="1" x14ac:dyDescent="0.25">
      <c r="A790" s="3"/>
      <c r="B790" s="8"/>
      <c r="C790" s="8"/>
      <c r="D790" s="8"/>
      <c r="E790" s="3"/>
      <c r="F790" s="3"/>
      <c r="G790" s="8"/>
      <c r="H790" s="8"/>
      <c r="I790" s="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24" customHeight="1" x14ac:dyDescent="0.25">
      <c r="A791" s="3"/>
      <c r="B791" s="8"/>
      <c r="C791" s="8"/>
      <c r="D791" s="8"/>
      <c r="E791" s="3"/>
      <c r="F791" s="3"/>
      <c r="G791" s="8"/>
      <c r="H791" s="8"/>
      <c r="I791" s="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24" customHeight="1" x14ac:dyDescent="0.25">
      <c r="A792" s="3"/>
      <c r="B792" s="8"/>
      <c r="C792" s="8"/>
      <c r="D792" s="8"/>
      <c r="E792" s="3"/>
      <c r="F792" s="3"/>
      <c r="G792" s="8"/>
      <c r="H792" s="8"/>
      <c r="I792" s="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24" customHeight="1" x14ac:dyDescent="0.25">
      <c r="A793" s="3"/>
      <c r="B793" s="8"/>
      <c r="C793" s="8"/>
      <c r="D793" s="8"/>
      <c r="E793" s="3"/>
      <c r="F793" s="3"/>
      <c r="G793" s="8"/>
      <c r="H793" s="8"/>
      <c r="I793" s="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24" customHeight="1" x14ac:dyDescent="0.25">
      <c r="A794" s="3"/>
      <c r="B794" s="8"/>
      <c r="C794" s="8"/>
      <c r="D794" s="8"/>
      <c r="E794" s="3"/>
      <c r="F794" s="3"/>
      <c r="G794" s="8"/>
      <c r="H794" s="8"/>
      <c r="I794" s="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24" customHeight="1" x14ac:dyDescent="0.25">
      <c r="A795" s="3"/>
      <c r="B795" s="8"/>
      <c r="C795" s="8"/>
      <c r="D795" s="8"/>
      <c r="E795" s="3"/>
      <c r="F795" s="3"/>
      <c r="G795" s="8"/>
      <c r="H795" s="8"/>
      <c r="I795" s="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24" customHeight="1" x14ac:dyDescent="0.25">
      <c r="A796" s="3"/>
      <c r="B796" s="8"/>
      <c r="C796" s="8"/>
      <c r="D796" s="8"/>
      <c r="E796" s="3"/>
      <c r="F796" s="3"/>
      <c r="G796" s="8"/>
      <c r="H796" s="8"/>
      <c r="I796" s="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24" customHeight="1" x14ac:dyDescent="0.25">
      <c r="A797" s="3"/>
      <c r="B797" s="8"/>
      <c r="C797" s="8"/>
      <c r="D797" s="8"/>
      <c r="E797" s="3"/>
      <c r="F797" s="3"/>
      <c r="G797" s="8"/>
      <c r="H797" s="8"/>
      <c r="I797" s="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24" customHeight="1" x14ac:dyDescent="0.25">
      <c r="A798" s="3"/>
      <c r="B798" s="8"/>
      <c r="C798" s="8"/>
      <c r="D798" s="8"/>
      <c r="E798" s="3"/>
      <c r="F798" s="3"/>
      <c r="G798" s="8"/>
      <c r="H798" s="8"/>
      <c r="I798" s="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24" customHeight="1" x14ac:dyDescent="0.25">
      <c r="A799" s="3"/>
      <c r="B799" s="8"/>
      <c r="C799" s="8"/>
      <c r="D799" s="8"/>
      <c r="E799" s="3"/>
      <c r="F799" s="3"/>
      <c r="G799" s="8"/>
      <c r="H799" s="8"/>
      <c r="I799" s="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24" customHeight="1" x14ac:dyDescent="0.25">
      <c r="A800" s="3"/>
      <c r="B800" s="8"/>
      <c r="C800" s="8"/>
      <c r="D800" s="8"/>
      <c r="E800" s="3"/>
      <c r="F800" s="3"/>
      <c r="G800" s="8"/>
      <c r="H800" s="8"/>
      <c r="I800" s="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24" customHeight="1" x14ac:dyDescent="0.25">
      <c r="A801" s="3"/>
      <c r="B801" s="8"/>
      <c r="C801" s="8"/>
      <c r="D801" s="8"/>
      <c r="E801" s="3"/>
      <c r="F801" s="3"/>
      <c r="G801" s="8"/>
      <c r="H801" s="8"/>
      <c r="I801" s="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24" customHeight="1" x14ac:dyDescent="0.25">
      <c r="A802" s="3"/>
      <c r="B802" s="8"/>
      <c r="C802" s="8"/>
      <c r="D802" s="8"/>
      <c r="E802" s="3"/>
      <c r="F802" s="3"/>
      <c r="G802" s="8"/>
      <c r="H802" s="8"/>
      <c r="I802" s="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24" customHeight="1" x14ac:dyDescent="0.25">
      <c r="A803" s="3"/>
      <c r="B803" s="8"/>
      <c r="C803" s="8"/>
      <c r="D803" s="8"/>
      <c r="E803" s="3"/>
      <c r="F803" s="3"/>
      <c r="G803" s="8"/>
      <c r="H803" s="8"/>
      <c r="I803" s="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24" customHeight="1" x14ac:dyDescent="0.25">
      <c r="A804" s="3"/>
      <c r="B804" s="8"/>
      <c r="C804" s="8"/>
      <c r="D804" s="8"/>
      <c r="E804" s="3"/>
      <c r="F804" s="3"/>
      <c r="G804" s="8"/>
      <c r="H804" s="8"/>
      <c r="I804" s="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24" customHeight="1" x14ac:dyDescent="0.25">
      <c r="A805" s="3"/>
      <c r="B805" s="8"/>
      <c r="C805" s="8"/>
      <c r="D805" s="8"/>
      <c r="E805" s="3"/>
      <c r="F805" s="3"/>
      <c r="G805" s="8"/>
      <c r="H805" s="8"/>
      <c r="I805" s="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24" customHeight="1" x14ac:dyDescent="0.25">
      <c r="A806" s="3"/>
      <c r="B806" s="8"/>
      <c r="C806" s="8"/>
      <c r="D806" s="8"/>
      <c r="E806" s="3"/>
      <c r="F806" s="3"/>
      <c r="G806" s="8"/>
      <c r="H806" s="8"/>
      <c r="I806" s="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24" customHeight="1" x14ac:dyDescent="0.25">
      <c r="A807" s="3"/>
      <c r="B807" s="8"/>
      <c r="C807" s="8"/>
      <c r="D807" s="8"/>
      <c r="E807" s="3"/>
      <c r="F807" s="3"/>
      <c r="G807" s="8"/>
      <c r="H807" s="8"/>
      <c r="I807" s="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24" customHeight="1" x14ac:dyDescent="0.25">
      <c r="A808" s="3"/>
      <c r="B808" s="8"/>
      <c r="C808" s="8"/>
      <c r="D808" s="8"/>
      <c r="E808" s="3"/>
      <c r="F808" s="3"/>
      <c r="G808" s="8"/>
      <c r="H808" s="8"/>
      <c r="I808" s="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24" customHeight="1" x14ac:dyDescent="0.25">
      <c r="A809" s="3"/>
      <c r="B809" s="8"/>
      <c r="C809" s="8"/>
      <c r="D809" s="8"/>
      <c r="E809" s="3"/>
      <c r="F809" s="3"/>
      <c r="G809" s="8"/>
      <c r="H809" s="8"/>
      <c r="I809" s="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24" customHeight="1" x14ac:dyDescent="0.25">
      <c r="A810" s="3"/>
      <c r="B810" s="8"/>
      <c r="C810" s="8"/>
      <c r="D810" s="8"/>
      <c r="E810" s="3"/>
      <c r="F810" s="3"/>
      <c r="G810" s="8"/>
      <c r="H810" s="8"/>
      <c r="I810" s="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24" customHeight="1" x14ac:dyDescent="0.25">
      <c r="A811" s="3"/>
      <c r="B811" s="8"/>
      <c r="C811" s="8"/>
      <c r="D811" s="8"/>
      <c r="E811" s="3"/>
      <c r="F811" s="3"/>
      <c r="G811" s="8"/>
      <c r="H811" s="8"/>
      <c r="I811" s="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24" customHeight="1" x14ac:dyDescent="0.25">
      <c r="A812" s="3"/>
      <c r="B812" s="8"/>
      <c r="C812" s="8"/>
      <c r="D812" s="8"/>
      <c r="E812" s="3"/>
      <c r="F812" s="3"/>
      <c r="G812" s="8"/>
      <c r="H812" s="8"/>
      <c r="I812" s="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24" customHeight="1" x14ac:dyDescent="0.25">
      <c r="A813" s="3"/>
      <c r="B813" s="8"/>
      <c r="C813" s="8"/>
      <c r="D813" s="8"/>
      <c r="E813" s="3"/>
      <c r="F813" s="3"/>
      <c r="G813" s="8"/>
      <c r="H813" s="8"/>
      <c r="I813" s="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24" customHeight="1" x14ac:dyDescent="0.25">
      <c r="A814" s="3"/>
      <c r="B814" s="8"/>
      <c r="C814" s="8"/>
      <c r="D814" s="8"/>
      <c r="E814" s="3"/>
      <c r="F814" s="3"/>
      <c r="G814" s="8"/>
      <c r="H814" s="8"/>
      <c r="I814" s="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24" customHeight="1" x14ac:dyDescent="0.25">
      <c r="A815" s="3"/>
      <c r="B815" s="8"/>
      <c r="C815" s="8"/>
      <c r="D815" s="8"/>
      <c r="E815" s="3"/>
      <c r="F815" s="3"/>
      <c r="G815" s="8"/>
      <c r="H815" s="8"/>
      <c r="I815" s="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24" customHeight="1" x14ac:dyDescent="0.25">
      <c r="A816" s="3"/>
      <c r="B816" s="8"/>
      <c r="C816" s="8"/>
      <c r="D816" s="8"/>
      <c r="E816" s="3"/>
      <c r="F816" s="3"/>
      <c r="G816" s="8"/>
      <c r="H816" s="8"/>
      <c r="I816" s="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24" customHeight="1" x14ac:dyDescent="0.25">
      <c r="A817" s="3"/>
      <c r="B817" s="8"/>
      <c r="C817" s="8"/>
      <c r="D817" s="8"/>
      <c r="E817" s="3"/>
      <c r="F817" s="3"/>
      <c r="G817" s="8"/>
      <c r="H817" s="8"/>
      <c r="I817" s="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24" customHeight="1" x14ac:dyDescent="0.25">
      <c r="A818" s="3"/>
      <c r="B818" s="8"/>
      <c r="C818" s="8"/>
      <c r="D818" s="8"/>
      <c r="E818" s="3"/>
      <c r="F818" s="3"/>
      <c r="G818" s="8"/>
      <c r="H818" s="8"/>
      <c r="I818" s="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24" customHeight="1" x14ac:dyDescent="0.25">
      <c r="A819" s="3"/>
      <c r="B819" s="8"/>
      <c r="C819" s="8"/>
      <c r="D819" s="8"/>
      <c r="E819" s="3"/>
      <c r="F819" s="3"/>
      <c r="G819" s="8"/>
      <c r="H819" s="8"/>
      <c r="I819" s="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24" customHeight="1" x14ac:dyDescent="0.25">
      <c r="A820" s="3"/>
      <c r="B820" s="8"/>
      <c r="C820" s="8"/>
      <c r="D820" s="8"/>
      <c r="E820" s="3"/>
      <c r="F820" s="3"/>
      <c r="G820" s="8"/>
      <c r="H820" s="8"/>
      <c r="I820" s="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24" customHeight="1" x14ac:dyDescent="0.25">
      <c r="A821" s="3"/>
      <c r="B821" s="8"/>
      <c r="C821" s="8"/>
      <c r="D821" s="8"/>
      <c r="E821" s="3"/>
      <c r="F821" s="3"/>
      <c r="G821" s="8"/>
      <c r="H821" s="8"/>
      <c r="I821" s="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24" customHeight="1" x14ac:dyDescent="0.25">
      <c r="A822" s="3"/>
      <c r="B822" s="8"/>
      <c r="C822" s="8"/>
      <c r="D822" s="8"/>
      <c r="E822" s="3"/>
      <c r="F822" s="3"/>
      <c r="G822" s="8"/>
      <c r="H822" s="8"/>
      <c r="I822" s="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24" customHeight="1" x14ac:dyDescent="0.25">
      <c r="A823" s="3"/>
      <c r="B823" s="8"/>
      <c r="C823" s="8"/>
      <c r="D823" s="8"/>
      <c r="E823" s="3"/>
      <c r="F823" s="3"/>
      <c r="G823" s="8"/>
      <c r="H823" s="8"/>
      <c r="I823" s="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24" customHeight="1" x14ac:dyDescent="0.25">
      <c r="A824" s="3"/>
      <c r="B824" s="8"/>
      <c r="C824" s="8"/>
      <c r="D824" s="8"/>
      <c r="E824" s="3"/>
      <c r="F824" s="3"/>
      <c r="G824" s="8"/>
      <c r="H824" s="8"/>
      <c r="I824" s="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24" customHeight="1" x14ac:dyDescent="0.25">
      <c r="A825" s="3"/>
      <c r="B825" s="8"/>
      <c r="C825" s="8"/>
      <c r="D825" s="8"/>
      <c r="E825" s="3"/>
      <c r="F825" s="3"/>
      <c r="G825" s="8"/>
      <c r="H825" s="8"/>
      <c r="I825" s="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24" customHeight="1" x14ac:dyDescent="0.25">
      <c r="A826" s="3"/>
      <c r="B826" s="8"/>
      <c r="C826" s="8"/>
      <c r="D826" s="8"/>
      <c r="E826" s="3"/>
      <c r="F826" s="3"/>
      <c r="G826" s="8"/>
      <c r="H826" s="8"/>
      <c r="I826" s="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24" customHeight="1" x14ac:dyDescent="0.25">
      <c r="A827" s="3"/>
      <c r="B827" s="8"/>
      <c r="C827" s="8"/>
      <c r="D827" s="8"/>
      <c r="E827" s="3"/>
      <c r="F827" s="3"/>
      <c r="G827" s="8"/>
      <c r="H827" s="8"/>
      <c r="I827" s="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24" customHeight="1" x14ac:dyDescent="0.25">
      <c r="A828" s="3"/>
      <c r="B828" s="8"/>
      <c r="C828" s="8"/>
      <c r="D828" s="8"/>
      <c r="E828" s="3"/>
      <c r="F828" s="3"/>
      <c r="G828" s="8"/>
      <c r="H828" s="8"/>
      <c r="I828" s="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24" customHeight="1" x14ac:dyDescent="0.25">
      <c r="A829" s="3"/>
      <c r="B829" s="8"/>
      <c r="C829" s="8"/>
      <c r="D829" s="8"/>
      <c r="E829" s="3"/>
      <c r="F829" s="3"/>
      <c r="G829" s="8"/>
      <c r="H829" s="8"/>
      <c r="I829" s="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24" customHeight="1" x14ac:dyDescent="0.25">
      <c r="A830" s="3"/>
      <c r="B830" s="8"/>
      <c r="C830" s="8"/>
      <c r="D830" s="8"/>
      <c r="E830" s="3"/>
      <c r="F830" s="3"/>
      <c r="G830" s="8"/>
      <c r="H830" s="8"/>
      <c r="I830" s="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24" customHeight="1" x14ac:dyDescent="0.25">
      <c r="A831" s="3"/>
      <c r="B831" s="8"/>
      <c r="C831" s="8"/>
      <c r="D831" s="8"/>
      <c r="E831" s="3"/>
      <c r="F831" s="3"/>
      <c r="G831" s="8"/>
      <c r="H831" s="8"/>
      <c r="I831" s="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24" customHeight="1" x14ac:dyDescent="0.25">
      <c r="A832" s="3"/>
      <c r="B832" s="8"/>
      <c r="C832" s="8"/>
      <c r="D832" s="8"/>
      <c r="E832" s="3"/>
      <c r="F832" s="3"/>
      <c r="G832" s="8"/>
      <c r="H832" s="8"/>
      <c r="I832" s="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24" customHeight="1" x14ac:dyDescent="0.25">
      <c r="A833" s="3"/>
      <c r="B833" s="8"/>
      <c r="C833" s="8"/>
      <c r="D833" s="8"/>
      <c r="E833" s="3"/>
      <c r="F833" s="3"/>
      <c r="G833" s="8"/>
      <c r="H833" s="8"/>
      <c r="I833" s="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24" customHeight="1" x14ac:dyDescent="0.25">
      <c r="A834" s="3"/>
      <c r="B834" s="8"/>
      <c r="C834" s="8"/>
      <c r="D834" s="8"/>
      <c r="E834" s="3"/>
      <c r="F834" s="3"/>
      <c r="G834" s="8"/>
      <c r="H834" s="8"/>
      <c r="I834" s="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24" customHeight="1" x14ac:dyDescent="0.25">
      <c r="A835" s="3"/>
      <c r="B835" s="8"/>
      <c r="C835" s="8"/>
      <c r="D835" s="8"/>
      <c r="E835" s="3"/>
      <c r="F835" s="3"/>
      <c r="G835" s="8"/>
      <c r="H835" s="8"/>
      <c r="I835" s="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24" customHeight="1" x14ac:dyDescent="0.25">
      <c r="A836" s="3"/>
      <c r="B836" s="8"/>
      <c r="C836" s="8"/>
      <c r="D836" s="8"/>
      <c r="E836" s="3"/>
      <c r="F836" s="3"/>
      <c r="G836" s="8"/>
      <c r="H836" s="8"/>
      <c r="I836" s="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24" customHeight="1" x14ac:dyDescent="0.25">
      <c r="A837" s="3"/>
      <c r="B837" s="8"/>
      <c r="C837" s="8"/>
      <c r="D837" s="8"/>
      <c r="E837" s="3"/>
      <c r="F837" s="3"/>
      <c r="G837" s="8"/>
      <c r="H837" s="8"/>
      <c r="I837" s="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24" customHeight="1" x14ac:dyDescent="0.25">
      <c r="A838" s="3"/>
      <c r="B838" s="8"/>
      <c r="C838" s="8"/>
      <c r="D838" s="8"/>
      <c r="E838" s="3"/>
      <c r="F838" s="3"/>
      <c r="G838" s="8"/>
      <c r="H838" s="8"/>
      <c r="I838" s="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24" customHeight="1" x14ac:dyDescent="0.25">
      <c r="A839" s="3"/>
      <c r="B839" s="8"/>
      <c r="C839" s="8"/>
      <c r="D839" s="8"/>
      <c r="E839" s="3"/>
      <c r="F839" s="3"/>
      <c r="G839" s="8"/>
      <c r="H839" s="8"/>
      <c r="I839" s="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24" customHeight="1" x14ac:dyDescent="0.25">
      <c r="A840" s="3"/>
      <c r="B840" s="8"/>
      <c r="C840" s="8"/>
      <c r="D840" s="8"/>
      <c r="E840" s="3"/>
      <c r="F840" s="3"/>
      <c r="G840" s="8"/>
      <c r="H840" s="8"/>
      <c r="I840" s="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24" customHeight="1" x14ac:dyDescent="0.25">
      <c r="A841" s="3"/>
      <c r="B841" s="8"/>
      <c r="C841" s="8"/>
      <c r="D841" s="8"/>
      <c r="E841" s="3"/>
      <c r="F841" s="3"/>
      <c r="G841" s="8"/>
      <c r="H841" s="8"/>
      <c r="I841" s="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24" customHeight="1" x14ac:dyDescent="0.25">
      <c r="A842" s="3"/>
      <c r="B842" s="8"/>
      <c r="C842" s="8"/>
      <c r="D842" s="8"/>
      <c r="E842" s="3"/>
      <c r="F842" s="3"/>
      <c r="G842" s="8"/>
      <c r="H842" s="8"/>
      <c r="I842" s="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24" customHeight="1" x14ac:dyDescent="0.25">
      <c r="A843" s="3"/>
      <c r="B843" s="8"/>
      <c r="C843" s="8"/>
      <c r="D843" s="8"/>
      <c r="E843" s="3"/>
      <c r="F843" s="3"/>
      <c r="G843" s="8"/>
      <c r="H843" s="8"/>
      <c r="I843" s="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24" customHeight="1" x14ac:dyDescent="0.25">
      <c r="A844" s="3"/>
      <c r="B844" s="8"/>
      <c r="C844" s="8"/>
      <c r="D844" s="8"/>
      <c r="E844" s="3"/>
      <c r="F844" s="3"/>
      <c r="G844" s="8"/>
      <c r="H844" s="8"/>
      <c r="I844" s="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24" customHeight="1" x14ac:dyDescent="0.25">
      <c r="A845" s="3"/>
      <c r="B845" s="8"/>
      <c r="C845" s="8"/>
      <c r="D845" s="8"/>
      <c r="E845" s="3"/>
      <c r="F845" s="3"/>
      <c r="G845" s="8"/>
      <c r="H845" s="8"/>
      <c r="I845" s="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24" customHeight="1" x14ac:dyDescent="0.25">
      <c r="A846" s="3"/>
      <c r="B846" s="8"/>
      <c r="C846" s="8"/>
      <c r="D846" s="8"/>
      <c r="E846" s="3"/>
      <c r="F846" s="3"/>
      <c r="G846" s="8"/>
      <c r="H846" s="8"/>
      <c r="I846" s="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24" customHeight="1" x14ac:dyDescent="0.25">
      <c r="A847" s="3"/>
      <c r="B847" s="8"/>
      <c r="C847" s="8"/>
      <c r="D847" s="8"/>
      <c r="E847" s="3"/>
      <c r="F847" s="3"/>
      <c r="G847" s="8"/>
      <c r="H847" s="8"/>
      <c r="I847" s="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24" customHeight="1" x14ac:dyDescent="0.25">
      <c r="A848" s="3"/>
      <c r="B848" s="8"/>
      <c r="C848" s="8"/>
      <c r="D848" s="8"/>
      <c r="E848" s="3"/>
      <c r="F848" s="3"/>
      <c r="G848" s="8"/>
      <c r="H848" s="8"/>
      <c r="I848" s="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24" customHeight="1" x14ac:dyDescent="0.25">
      <c r="A849" s="3"/>
      <c r="B849" s="8"/>
      <c r="C849" s="8"/>
      <c r="D849" s="8"/>
      <c r="E849" s="3"/>
      <c r="F849" s="3"/>
      <c r="G849" s="8"/>
      <c r="H849" s="8"/>
      <c r="I849" s="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24" customHeight="1" x14ac:dyDescent="0.25">
      <c r="A850" s="3"/>
      <c r="B850" s="8"/>
      <c r="C850" s="8"/>
      <c r="D850" s="8"/>
      <c r="E850" s="3"/>
      <c r="F850" s="3"/>
      <c r="G850" s="8"/>
      <c r="H850" s="8"/>
      <c r="I850" s="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24" customHeight="1" x14ac:dyDescent="0.25">
      <c r="A851" s="3"/>
      <c r="B851" s="8"/>
      <c r="C851" s="8"/>
      <c r="D851" s="8"/>
      <c r="E851" s="3"/>
      <c r="F851" s="3"/>
      <c r="G851" s="8"/>
      <c r="H851" s="8"/>
      <c r="I851" s="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24" customHeight="1" x14ac:dyDescent="0.25">
      <c r="A852" s="3"/>
      <c r="B852" s="8"/>
      <c r="C852" s="8"/>
      <c r="D852" s="8"/>
      <c r="E852" s="3"/>
      <c r="F852" s="3"/>
      <c r="G852" s="8"/>
      <c r="H852" s="8"/>
      <c r="I852" s="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24" customHeight="1" x14ac:dyDescent="0.25">
      <c r="A853" s="3"/>
      <c r="B853" s="8"/>
      <c r="C853" s="8"/>
      <c r="D853" s="8"/>
      <c r="E853" s="3"/>
      <c r="F853" s="3"/>
      <c r="G853" s="8"/>
      <c r="H853" s="8"/>
      <c r="I853" s="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24" customHeight="1" x14ac:dyDescent="0.25">
      <c r="A854" s="3"/>
      <c r="B854" s="8"/>
      <c r="C854" s="8"/>
      <c r="D854" s="8"/>
      <c r="E854" s="3"/>
      <c r="F854" s="3"/>
      <c r="G854" s="8"/>
      <c r="H854" s="8"/>
      <c r="I854" s="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24" customHeight="1" x14ac:dyDescent="0.25">
      <c r="A855" s="3"/>
      <c r="B855" s="8"/>
      <c r="C855" s="8"/>
      <c r="D855" s="8"/>
      <c r="E855" s="3"/>
      <c r="F855" s="3"/>
      <c r="G855" s="8"/>
      <c r="H855" s="8"/>
      <c r="I855" s="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24" customHeight="1" x14ac:dyDescent="0.25">
      <c r="A856" s="3"/>
      <c r="B856" s="8"/>
      <c r="C856" s="8"/>
      <c r="D856" s="8"/>
      <c r="E856" s="3"/>
      <c r="F856" s="3"/>
      <c r="G856" s="8"/>
      <c r="H856" s="8"/>
      <c r="I856" s="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24" customHeight="1" x14ac:dyDescent="0.25">
      <c r="A857" s="3"/>
      <c r="B857" s="8"/>
      <c r="C857" s="8"/>
      <c r="D857" s="8"/>
      <c r="E857" s="3"/>
      <c r="F857" s="3"/>
      <c r="G857" s="8"/>
      <c r="H857" s="8"/>
      <c r="I857" s="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24" customHeight="1" x14ac:dyDescent="0.25">
      <c r="A858" s="3"/>
      <c r="B858" s="8"/>
      <c r="C858" s="8"/>
      <c r="D858" s="8"/>
      <c r="E858" s="3"/>
      <c r="F858" s="3"/>
      <c r="G858" s="8"/>
      <c r="H858" s="8"/>
      <c r="I858" s="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24" customHeight="1" x14ac:dyDescent="0.25">
      <c r="A859" s="3"/>
      <c r="B859" s="8"/>
      <c r="C859" s="8"/>
      <c r="D859" s="8"/>
      <c r="E859" s="3"/>
      <c r="F859" s="3"/>
      <c r="G859" s="8"/>
      <c r="H859" s="8"/>
      <c r="I859" s="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24" customHeight="1" x14ac:dyDescent="0.25">
      <c r="A860" s="3"/>
      <c r="B860" s="8"/>
      <c r="C860" s="8"/>
      <c r="D860" s="8"/>
      <c r="E860" s="3"/>
      <c r="F860" s="3"/>
      <c r="G860" s="8"/>
      <c r="H860" s="8"/>
      <c r="I860" s="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24" customHeight="1" x14ac:dyDescent="0.25">
      <c r="A861" s="3"/>
      <c r="B861" s="8"/>
      <c r="C861" s="8"/>
      <c r="D861" s="8"/>
      <c r="E861" s="3"/>
      <c r="F861" s="3"/>
      <c r="G861" s="8"/>
      <c r="H861" s="8"/>
      <c r="I861" s="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24" customHeight="1" x14ac:dyDescent="0.25">
      <c r="A862" s="3"/>
      <c r="B862" s="8"/>
      <c r="C862" s="8"/>
      <c r="D862" s="8"/>
      <c r="E862" s="3"/>
      <c r="F862" s="3"/>
      <c r="G862" s="8"/>
      <c r="H862" s="8"/>
      <c r="I862" s="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24" customHeight="1" x14ac:dyDescent="0.25">
      <c r="A863" s="3"/>
      <c r="B863" s="8"/>
      <c r="C863" s="8"/>
      <c r="D863" s="8"/>
      <c r="E863" s="3"/>
      <c r="F863" s="3"/>
      <c r="G863" s="8"/>
      <c r="H863" s="8"/>
      <c r="I863" s="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24" customHeight="1" x14ac:dyDescent="0.25">
      <c r="A864" s="3"/>
      <c r="B864" s="8"/>
      <c r="C864" s="8"/>
      <c r="D864" s="8"/>
      <c r="E864" s="3"/>
      <c r="F864" s="3"/>
      <c r="G864" s="8"/>
      <c r="H864" s="8"/>
      <c r="I864" s="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24" customHeight="1" x14ac:dyDescent="0.25">
      <c r="A865" s="3"/>
      <c r="B865" s="8"/>
      <c r="C865" s="8"/>
      <c r="D865" s="8"/>
      <c r="E865" s="3"/>
      <c r="F865" s="3"/>
      <c r="G865" s="8"/>
      <c r="H865" s="8"/>
      <c r="I865" s="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24" customHeight="1" x14ac:dyDescent="0.25">
      <c r="A866" s="3"/>
      <c r="B866" s="8"/>
      <c r="C866" s="8"/>
      <c r="D866" s="8"/>
      <c r="E866" s="3"/>
      <c r="F866" s="3"/>
      <c r="G866" s="8"/>
      <c r="H866" s="8"/>
      <c r="I866" s="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24" customHeight="1" x14ac:dyDescent="0.25">
      <c r="A867" s="3"/>
      <c r="B867" s="8"/>
      <c r="C867" s="8"/>
      <c r="D867" s="8"/>
      <c r="E867" s="3"/>
      <c r="F867" s="3"/>
      <c r="G867" s="8"/>
      <c r="H867" s="8"/>
      <c r="I867" s="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24" customHeight="1" x14ac:dyDescent="0.25">
      <c r="A868" s="3"/>
      <c r="B868" s="8"/>
      <c r="C868" s="8"/>
      <c r="D868" s="8"/>
      <c r="E868" s="3"/>
      <c r="F868" s="3"/>
      <c r="G868" s="8"/>
      <c r="H868" s="8"/>
      <c r="I868" s="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24" customHeight="1" x14ac:dyDescent="0.25">
      <c r="A869" s="3"/>
      <c r="B869" s="8"/>
      <c r="C869" s="8"/>
      <c r="D869" s="8"/>
      <c r="E869" s="3"/>
      <c r="F869" s="3"/>
      <c r="G869" s="8"/>
      <c r="H869" s="8"/>
      <c r="I869" s="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24" customHeight="1" x14ac:dyDescent="0.25">
      <c r="A870" s="3"/>
      <c r="B870" s="8"/>
      <c r="C870" s="8"/>
      <c r="D870" s="8"/>
      <c r="E870" s="3"/>
      <c r="F870" s="3"/>
      <c r="G870" s="8"/>
      <c r="H870" s="8"/>
      <c r="I870" s="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24" customHeight="1" x14ac:dyDescent="0.25">
      <c r="A871" s="3"/>
      <c r="B871" s="8"/>
      <c r="C871" s="8"/>
      <c r="D871" s="8"/>
      <c r="E871" s="3"/>
      <c r="F871" s="3"/>
      <c r="G871" s="8"/>
      <c r="H871" s="8"/>
      <c r="I871" s="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24" customHeight="1" x14ac:dyDescent="0.25">
      <c r="A872" s="3"/>
      <c r="B872" s="8"/>
      <c r="C872" s="8"/>
      <c r="D872" s="8"/>
      <c r="E872" s="3"/>
      <c r="F872" s="3"/>
      <c r="G872" s="8"/>
      <c r="H872" s="8"/>
      <c r="I872" s="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24" customHeight="1" x14ac:dyDescent="0.25">
      <c r="A873" s="3"/>
      <c r="B873" s="8"/>
      <c r="C873" s="8"/>
      <c r="D873" s="8"/>
      <c r="E873" s="3"/>
      <c r="F873" s="3"/>
      <c r="G873" s="8"/>
      <c r="H873" s="8"/>
      <c r="I873" s="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24" customHeight="1" x14ac:dyDescent="0.25">
      <c r="A874" s="3"/>
      <c r="B874" s="8"/>
      <c r="C874" s="8"/>
      <c r="D874" s="8"/>
      <c r="E874" s="3"/>
      <c r="F874" s="3"/>
      <c r="G874" s="8"/>
      <c r="H874" s="8"/>
      <c r="I874" s="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24" customHeight="1" x14ac:dyDescent="0.25">
      <c r="A875" s="3"/>
      <c r="B875" s="8"/>
      <c r="C875" s="8"/>
      <c r="D875" s="8"/>
      <c r="E875" s="3"/>
      <c r="F875" s="3"/>
      <c r="G875" s="8"/>
      <c r="H875" s="8"/>
      <c r="I875" s="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24" customHeight="1" x14ac:dyDescent="0.25">
      <c r="A876" s="3"/>
      <c r="B876" s="8"/>
      <c r="C876" s="8"/>
      <c r="D876" s="8"/>
      <c r="E876" s="3"/>
      <c r="F876" s="3"/>
      <c r="G876" s="8"/>
      <c r="H876" s="8"/>
      <c r="I876" s="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24" customHeight="1" x14ac:dyDescent="0.25">
      <c r="A877" s="3"/>
      <c r="B877" s="8"/>
      <c r="C877" s="8"/>
      <c r="D877" s="8"/>
      <c r="E877" s="3"/>
      <c r="F877" s="3"/>
      <c r="G877" s="8"/>
      <c r="H877" s="8"/>
      <c r="I877" s="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24" customHeight="1" x14ac:dyDescent="0.25">
      <c r="A878" s="3"/>
      <c r="B878" s="8"/>
      <c r="C878" s="8"/>
      <c r="D878" s="8"/>
      <c r="E878" s="3"/>
      <c r="F878" s="3"/>
      <c r="G878" s="8"/>
      <c r="H878" s="8"/>
      <c r="I878" s="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24" customHeight="1" x14ac:dyDescent="0.25">
      <c r="A879" s="3"/>
      <c r="B879" s="8"/>
      <c r="C879" s="8"/>
      <c r="D879" s="8"/>
      <c r="E879" s="3"/>
      <c r="F879" s="3"/>
      <c r="G879" s="8"/>
      <c r="H879" s="8"/>
      <c r="I879" s="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24" customHeight="1" x14ac:dyDescent="0.25">
      <c r="A880" s="3"/>
      <c r="B880" s="8"/>
      <c r="C880" s="8"/>
      <c r="D880" s="8"/>
      <c r="E880" s="3"/>
      <c r="F880" s="3"/>
      <c r="G880" s="8"/>
      <c r="H880" s="8"/>
      <c r="I880" s="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24" customHeight="1" x14ac:dyDescent="0.25">
      <c r="A881" s="3"/>
      <c r="B881" s="8"/>
      <c r="C881" s="8"/>
      <c r="D881" s="8"/>
      <c r="E881" s="3"/>
      <c r="F881" s="3"/>
      <c r="G881" s="8"/>
      <c r="H881" s="8"/>
      <c r="I881" s="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24" customHeight="1" x14ac:dyDescent="0.25">
      <c r="A882" s="3"/>
      <c r="B882" s="8"/>
      <c r="C882" s="8"/>
      <c r="D882" s="8"/>
      <c r="E882" s="3"/>
      <c r="F882" s="3"/>
      <c r="G882" s="8"/>
      <c r="H882" s="8"/>
      <c r="I882" s="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24" customHeight="1" x14ac:dyDescent="0.25">
      <c r="A883" s="3"/>
      <c r="B883" s="8"/>
      <c r="C883" s="8"/>
      <c r="D883" s="8"/>
      <c r="E883" s="3"/>
      <c r="F883" s="3"/>
      <c r="G883" s="8"/>
      <c r="H883" s="8"/>
      <c r="I883" s="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24" customHeight="1" x14ac:dyDescent="0.25">
      <c r="A884" s="3"/>
      <c r="B884" s="8"/>
      <c r="C884" s="8"/>
      <c r="D884" s="8"/>
      <c r="E884" s="3"/>
      <c r="F884" s="3"/>
      <c r="G884" s="8"/>
      <c r="H884" s="8"/>
      <c r="I884" s="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24" customHeight="1" x14ac:dyDescent="0.25">
      <c r="A885" s="3"/>
      <c r="B885" s="8"/>
      <c r="C885" s="8"/>
      <c r="D885" s="8"/>
      <c r="E885" s="3"/>
      <c r="F885" s="3"/>
      <c r="G885" s="8"/>
      <c r="H885" s="8"/>
      <c r="I885" s="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24" customHeight="1" x14ac:dyDescent="0.25">
      <c r="A886" s="3"/>
      <c r="B886" s="8"/>
      <c r="C886" s="8"/>
      <c r="D886" s="8"/>
      <c r="E886" s="3"/>
      <c r="F886" s="3"/>
      <c r="G886" s="8"/>
      <c r="H886" s="8"/>
      <c r="I886" s="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24" customHeight="1" x14ac:dyDescent="0.25">
      <c r="A887" s="3"/>
      <c r="B887" s="8"/>
      <c r="C887" s="8"/>
      <c r="D887" s="8"/>
      <c r="E887" s="3"/>
      <c r="F887" s="3"/>
      <c r="G887" s="8"/>
      <c r="H887" s="8"/>
      <c r="I887" s="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24" customHeight="1" x14ac:dyDescent="0.25">
      <c r="A888" s="3"/>
      <c r="B888" s="8"/>
      <c r="C888" s="8"/>
      <c r="D888" s="8"/>
      <c r="E888" s="3"/>
      <c r="F888" s="3"/>
      <c r="G888" s="8"/>
      <c r="H888" s="8"/>
      <c r="I888" s="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24" customHeight="1" x14ac:dyDescent="0.25">
      <c r="A889" s="3"/>
      <c r="B889" s="8"/>
      <c r="C889" s="8"/>
      <c r="D889" s="8"/>
      <c r="E889" s="3"/>
      <c r="F889" s="3"/>
      <c r="G889" s="8"/>
      <c r="H889" s="8"/>
      <c r="I889" s="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24" customHeight="1" x14ac:dyDescent="0.25">
      <c r="A890" s="3"/>
      <c r="B890" s="8"/>
      <c r="C890" s="8"/>
      <c r="D890" s="8"/>
      <c r="E890" s="3"/>
      <c r="F890" s="3"/>
      <c r="G890" s="8"/>
      <c r="H890" s="8"/>
      <c r="I890" s="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24" customHeight="1" x14ac:dyDescent="0.25">
      <c r="A891" s="3"/>
      <c r="B891" s="8"/>
      <c r="C891" s="8"/>
      <c r="D891" s="8"/>
      <c r="E891" s="3"/>
      <c r="F891" s="3"/>
      <c r="G891" s="8"/>
      <c r="H891" s="8"/>
      <c r="I891" s="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24" customHeight="1" x14ac:dyDescent="0.25">
      <c r="A892" s="3"/>
      <c r="B892" s="8"/>
      <c r="C892" s="8"/>
      <c r="D892" s="8"/>
      <c r="E892" s="3"/>
      <c r="F892" s="3"/>
      <c r="G892" s="8"/>
      <c r="H892" s="8"/>
      <c r="I892" s="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24" customHeight="1" x14ac:dyDescent="0.25">
      <c r="A893" s="3"/>
      <c r="B893" s="8"/>
      <c r="C893" s="8"/>
      <c r="D893" s="8"/>
      <c r="E893" s="3"/>
      <c r="F893" s="3"/>
      <c r="G893" s="8"/>
      <c r="H893" s="8"/>
      <c r="I893" s="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24" customHeight="1" x14ac:dyDescent="0.25">
      <c r="A894" s="3"/>
      <c r="B894" s="8"/>
      <c r="C894" s="8"/>
      <c r="D894" s="8"/>
      <c r="E894" s="3"/>
      <c r="F894" s="3"/>
      <c r="G894" s="8"/>
      <c r="H894" s="8"/>
      <c r="I894" s="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24" customHeight="1" x14ac:dyDescent="0.25">
      <c r="A895" s="3"/>
      <c r="B895" s="8"/>
      <c r="C895" s="8"/>
      <c r="D895" s="8"/>
      <c r="E895" s="3"/>
      <c r="F895" s="3"/>
      <c r="G895" s="8"/>
      <c r="H895" s="8"/>
      <c r="I895" s="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24" customHeight="1" x14ac:dyDescent="0.25">
      <c r="A896" s="3"/>
      <c r="B896" s="8"/>
      <c r="C896" s="8"/>
      <c r="D896" s="8"/>
      <c r="E896" s="3"/>
      <c r="F896" s="3"/>
      <c r="G896" s="8"/>
      <c r="H896" s="8"/>
      <c r="I896" s="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24" customHeight="1" x14ac:dyDescent="0.25">
      <c r="A897" s="3"/>
      <c r="B897" s="8"/>
      <c r="C897" s="8"/>
      <c r="D897" s="8"/>
      <c r="E897" s="3"/>
      <c r="F897" s="3"/>
      <c r="G897" s="8"/>
      <c r="H897" s="8"/>
      <c r="I897" s="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24" customHeight="1" x14ac:dyDescent="0.25">
      <c r="A898" s="3"/>
      <c r="B898" s="8"/>
      <c r="C898" s="8"/>
      <c r="D898" s="8"/>
      <c r="E898" s="3"/>
      <c r="F898" s="3"/>
      <c r="G898" s="8"/>
      <c r="H898" s="8"/>
      <c r="I898" s="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24" customHeight="1" x14ac:dyDescent="0.25">
      <c r="A899" s="3"/>
      <c r="B899" s="8"/>
      <c r="C899" s="8"/>
      <c r="D899" s="8"/>
      <c r="E899" s="3"/>
      <c r="F899" s="3"/>
      <c r="G899" s="8"/>
      <c r="H899" s="8"/>
      <c r="I899" s="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24" customHeight="1" x14ac:dyDescent="0.25">
      <c r="A900" s="3"/>
      <c r="B900" s="8"/>
      <c r="C900" s="8"/>
      <c r="D900" s="8"/>
      <c r="E900" s="3"/>
      <c r="F900" s="3"/>
      <c r="G900" s="8"/>
      <c r="H900" s="8"/>
      <c r="I900" s="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24" customHeight="1" x14ac:dyDescent="0.25">
      <c r="A901" s="3"/>
      <c r="B901" s="8"/>
      <c r="C901" s="8"/>
      <c r="D901" s="8"/>
      <c r="E901" s="3"/>
      <c r="F901" s="3"/>
      <c r="G901" s="8"/>
      <c r="H901" s="8"/>
      <c r="I901" s="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24" customHeight="1" x14ac:dyDescent="0.25">
      <c r="A902" s="3"/>
      <c r="B902" s="8"/>
      <c r="C902" s="8"/>
      <c r="D902" s="8"/>
      <c r="E902" s="3"/>
      <c r="F902" s="3"/>
      <c r="G902" s="8"/>
      <c r="H902" s="8"/>
      <c r="I902" s="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24" customHeight="1" x14ac:dyDescent="0.25">
      <c r="A903" s="3"/>
      <c r="B903" s="8"/>
      <c r="C903" s="8"/>
      <c r="D903" s="8"/>
      <c r="E903" s="3"/>
      <c r="F903" s="3"/>
      <c r="G903" s="8"/>
      <c r="H903" s="8"/>
      <c r="I903" s="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24" customHeight="1" x14ac:dyDescent="0.25">
      <c r="A904" s="3"/>
      <c r="B904" s="8"/>
      <c r="C904" s="8"/>
      <c r="D904" s="8"/>
      <c r="E904" s="3"/>
      <c r="F904" s="3"/>
      <c r="G904" s="8"/>
      <c r="H904" s="8"/>
      <c r="I904" s="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24" customHeight="1" x14ac:dyDescent="0.25">
      <c r="A905" s="3"/>
      <c r="B905" s="8"/>
      <c r="C905" s="8"/>
      <c r="D905" s="8"/>
      <c r="E905" s="3"/>
      <c r="F905" s="3"/>
      <c r="G905" s="8"/>
      <c r="H905" s="8"/>
      <c r="I905" s="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24" customHeight="1" x14ac:dyDescent="0.25">
      <c r="A906" s="3"/>
      <c r="B906" s="8"/>
      <c r="C906" s="8"/>
      <c r="D906" s="8"/>
      <c r="E906" s="3"/>
      <c r="F906" s="3"/>
      <c r="G906" s="8"/>
      <c r="H906" s="8"/>
      <c r="I906" s="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24" customHeight="1" x14ac:dyDescent="0.25">
      <c r="A907" s="3"/>
      <c r="B907" s="8"/>
      <c r="C907" s="8"/>
      <c r="D907" s="8"/>
      <c r="E907" s="3"/>
      <c r="F907" s="3"/>
      <c r="G907" s="8"/>
      <c r="H907" s="8"/>
      <c r="I907" s="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24" customHeight="1" x14ac:dyDescent="0.25">
      <c r="A908" s="3"/>
      <c r="B908" s="8"/>
      <c r="C908" s="8"/>
      <c r="D908" s="8"/>
      <c r="E908" s="3"/>
      <c r="F908" s="3"/>
      <c r="G908" s="8"/>
      <c r="H908" s="8"/>
      <c r="I908" s="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24" customHeight="1" x14ac:dyDescent="0.25">
      <c r="A909" s="3"/>
      <c r="B909" s="8"/>
      <c r="C909" s="8"/>
      <c r="D909" s="8"/>
      <c r="E909" s="3"/>
      <c r="F909" s="3"/>
      <c r="G909" s="8"/>
      <c r="H909" s="8"/>
      <c r="I909" s="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24" customHeight="1" x14ac:dyDescent="0.25">
      <c r="A910" s="3"/>
      <c r="B910" s="8"/>
      <c r="C910" s="8"/>
      <c r="D910" s="8"/>
      <c r="E910" s="3"/>
      <c r="F910" s="3"/>
      <c r="G910" s="8"/>
      <c r="H910" s="8"/>
      <c r="I910" s="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24" customHeight="1" x14ac:dyDescent="0.25">
      <c r="A911" s="3"/>
      <c r="B911" s="8"/>
      <c r="C911" s="8"/>
      <c r="D911" s="8"/>
      <c r="E911" s="3"/>
      <c r="F911" s="3"/>
      <c r="G911" s="8"/>
      <c r="H911" s="8"/>
      <c r="I911" s="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24" customHeight="1" x14ac:dyDescent="0.25">
      <c r="A912" s="3"/>
      <c r="B912" s="8"/>
      <c r="C912" s="8"/>
      <c r="D912" s="8"/>
      <c r="E912" s="3"/>
      <c r="F912" s="3"/>
      <c r="G912" s="8"/>
      <c r="H912" s="8"/>
      <c r="I912" s="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24" customHeight="1" x14ac:dyDescent="0.25">
      <c r="A913" s="3"/>
      <c r="B913" s="8"/>
      <c r="C913" s="8"/>
      <c r="D913" s="8"/>
      <c r="E913" s="3"/>
      <c r="F913" s="3"/>
      <c r="G913" s="8"/>
      <c r="H913" s="8"/>
      <c r="I913" s="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24" customHeight="1" x14ac:dyDescent="0.25">
      <c r="A914" s="3"/>
      <c r="B914" s="8"/>
      <c r="C914" s="8"/>
      <c r="D914" s="8"/>
      <c r="E914" s="3"/>
      <c r="F914" s="3"/>
      <c r="G914" s="8"/>
      <c r="H914" s="8"/>
      <c r="I914" s="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24" customHeight="1" x14ac:dyDescent="0.25">
      <c r="A915" s="3"/>
      <c r="B915" s="8"/>
      <c r="C915" s="8"/>
      <c r="D915" s="8"/>
      <c r="E915" s="3"/>
      <c r="F915" s="3"/>
      <c r="G915" s="8"/>
      <c r="H915" s="8"/>
      <c r="I915" s="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24" customHeight="1" x14ac:dyDescent="0.25">
      <c r="A916" s="3"/>
      <c r="B916" s="8"/>
      <c r="C916" s="8"/>
      <c r="D916" s="8"/>
      <c r="E916" s="3"/>
      <c r="F916" s="3"/>
      <c r="G916" s="8"/>
      <c r="H916" s="8"/>
      <c r="I916" s="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24" customHeight="1" x14ac:dyDescent="0.25">
      <c r="A917" s="3"/>
      <c r="B917" s="8"/>
      <c r="C917" s="8"/>
      <c r="D917" s="8"/>
      <c r="E917" s="3"/>
      <c r="F917" s="3"/>
      <c r="G917" s="8"/>
      <c r="H917" s="8"/>
      <c r="I917" s="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24" customHeight="1" x14ac:dyDescent="0.25">
      <c r="A918" s="3"/>
      <c r="B918" s="8"/>
      <c r="C918" s="8"/>
      <c r="D918" s="8"/>
      <c r="E918" s="3"/>
      <c r="F918" s="3"/>
      <c r="G918" s="8"/>
      <c r="H918" s="8"/>
      <c r="I918" s="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24" customHeight="1" x14ac:dyDescent="0.25">
      <c r="A919" s="3"/>
      <c r="B919" s="8"/>
      <c r="C919" s="8"/>
      <c r="D919" s="8"/>
      <c r="E919" s="3"/>
      <c r="F919" s="3"/>
      <c r="G919" s="8"/>
      <c r="H919" s="8"/>
      <c r="I919" s="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24" customHeight="1" x14ac:dyDescent="0.25">
      <c r="A920" s="3"/>
      <c r="B920" s="8"/>
      <c r="C920" s="8"/>
      <c r="D920" s="8"/>
      <c r="E920" s="3"/>
      <c r="F920" s="3"/>
      <c r="G920" s="8"/>
      <c r="H920" s="8"/>
      <c r="I920" s="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24" customHeight="1" x14ac:dyDescent="0.25">
      <c r="A921" s="3"/>
      <c r="B921" s="8"/>
      <c r="C921" s="8"/>
      <c r="D921" s="8"/>
      <c r="E921" s="3"/>
      <c r="F921" s="3"/>
      <c r="G921" s="8"/>
      <c r="H921" s="8"/>
      <c r="I921" s="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24" customHeight="1" x14ac:dyDescent="0.25">
      <c r="A922" s="3"/>
      <c r="B922" s="8"/>
      <c r="C922" s="8"/>
      <c r="D922" s="8"/>
      <c r="E922" s="3"/>
      <c r="F922" s="3"/>
      <c r="G922" s="8"/>
      <c r="H922" s="8"/>
      <c r="I922" s="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24" customHeight="1" x14ac:dyDescent="0.25">
      <c r="A923" s="3"/>
      <c r="B923" s="8"/>
      <c r="C923" s="8"/>
      <c r="D923" s="8"/>
      <c r="E923" s="3"/>
      <c r="F923" s="3"/>
      <c r="G923" s="8"/>
      <c r="H923" s="8"/>
      <c r="I923" s="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24" customHeight="1" x14ac:dyDescent="0.25">
      <c r="A924" s="3"/>
      <c r="B924" s="8"/>
      <c r="C924" s="8"/>
      <c r="D924" s="8"/>
      <c r="E924" s="3"/>
      <c r="F924" s="3"/>
      <c r="G924" s="8"/>
      <c r="H924" s="8"/>
      <c r="I924" s="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24" customHeight="1" x14ac:dyDescent="0.25">
      <c r="A925" s="3"/>
      <c r="B925" s="8"/>
      <c r="C925" s="8"/>
      <c r="D925" s="8"/>
      <c r="E925" s="3"/>
      <c r="F925" s="3"/>
      <c r="G925" s="8"/>
      <c r="H925" s="8"/>
      <c r="I925" s="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24" customHeight="1" x14ac:dyDescent="0.25">
      <c r="A926" s="3"/>
      <c r="B926" s="8"/>
      <c r="C926" s="8"/>
      <c r="D926" s="8"/>
      <c r="E926" s="3"/>
      <c r="F926" s="3"/>
      <c r="G926" s="8"/>
      <c r="H926" s="8"/>
      <c r="I926" s="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24" customHeight="1" x14ac:dyDescent="0.25">
      <c r="A927" s="3"/>
      <c r="B927" s="8"/>
      <c r="C927" s="8"/>
      <c r="D927" s="8"/>
      <c r="E927" s="3"/>
      <c r="F927" s="3"/>
      <c r="G927" s="8"/>
      <c r="H927" s="8"/>
      <c r="I927" s="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24" customHeight="1" x14ac:dyDescent="0.25">
      <c r="A928" s="3"/>
      <c r="B928" s="8"/>
      <c r="C928" s="8"/>
      <c r="D928" s="8"/>
      <c r="E928" s="3"/>
      <c r="F928" s="3"/>
      <c r="G928" s="8"/>
      <c r="H928" s="8"/>
      <c r="I928" s="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24" customHeight="1" x14ac:dyDescent="0.25">
      <c r="A929" s="3"/>
      <c r="B929" s="8"/>
      <c r="C929" s="8"/>
      <c r="D929" s="8"/>
      <c r="E929" s="3"/>
      <c r="F929" s="3"/>
      <c r="G929" s="8"/>
      <c r="H929" s="8"/>
      <c r="I929" s="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24" customHeight="1" x14ac:dyDescent="0.25">
      <c r="A930" s="3"/>
      <c r="B930" s="8"/>
      <c r="C930" s="8"/>
      <c r="D930" s="8"/>
      <c r="E930" s="3"/>
      <c r="F930" s="3"/>
      <c r="G930" s="8"/>
      <c r="H930" s="8"/>
      <c r="I930" s="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24" customHeight="1" x14ac:dyDescent="0.25">
      <c r="A931" s="3"/>
      <c r="B931" s="8"/>
      <c r="C931" s="8"/>
      <c r="D931" s="8"/>
      <c r="E931" s="3"/>
      <c r="F931" s="3"/>
      <c r="G931" s="8"/>
      <c r="H931" s="8"/>
      <c r="I931" s="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24" customHeight="1" x14ac:dyDescent="0.25">
      <c r="A932" s="3"/>
      <c r="B932" s="8"/>
      <c r="C932" s="8"/>
      <c r="D932" s="8"/>
      <c r="E932" s="3"/>
      <c r="F932" s="3"/>
      <c r="G932" s="8"/>
      <c r="H932" s="8"/>
      <c r="I932" s="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24" customHeight="1" x14ac:dyDescent="0.25">
      <c r="A933" s="3"/>
      <c r="B933" s="8"/>
      <c r="C933" s="8"/>
      <c r="D933" s="8"/>
      <c r="E933" s="3"/>
      <c r="F933" s="3"/>
      <c r="G933" s="8"/>
      <c r="H933" s="8"/>
      <c r="I933" s="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24" customHeight="1" x14ac:dyDescent="0.25">
      <c r="A934" s="3"/>
      <c r="B934" s="8"/>
      <c r="C934" s="8"/>
      <c r="D934" s="8"/>
      <c r="E934" s="3"/>
      <c r="F934" s="3"/>
      <c r="G934" s="8"/>
      <c r="H934" s="8"/>
      <c r="I934" s="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24" customHeight="1" x14ac:dyDescent="0.25">
      <c r="A935" s="3"/>
      <c r="B935" s="8"/>
      <c r="C935" s="8"/>
      <c r="D935" s="8"/>
      <c r="E935" s="3"/>
      <c r="F935" s="3"/>
      <c r="G935" s="8"/>
      <c r="H935" s="8"/>
      <c r="I935" s="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24" customHeight="1" x14ac:dyDescent="0.25">
      <c r="A936" s="3"/>
      <c r="B936" s="8"/>
      <c r="C936" s="8"/>
      <c r="D936" s="8"/>
      <c r="E936" s="3"/>
      <c r="F936" s="3"/>
      <c r="G936" s="8"/>
      <c r="H936" s="8"/>
      <c r="I936" s="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24" customHeight="1" x14ac:dyDescent="0.25">
      <c r="A937" s="3"/>
      <c r="B937" s="8"/>
      <c r="C937" s="8"/>
      <c r="D937" s="8"/>
      <c r="E937" s="3"/>
      <c r="F937" s="3"/>
      <c r="G937" s="8"/>
      <c r="H937" s="8"/>
      <c r="I937" s="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24" customHeight="1" x14ac:dyDescent="0.25">
      <c r="A938" s="3"/>
      <c r="B938" s="8"/>
      <c r="C938" s="8"/>
      <c r="D938" s="8"/>
      <c r="E938" s="3"/>
      <c r="F938" s="3"/>
      <c r="G938" s="8"/>
      <c r="H938" s="8"/>
      <c r="I938" s="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24" customHeight="1" x14ac:dyDescent="0.25">
      <c r="A939" s="3"/>
      <c r="B939" s="8"/>
      <c r="C939" s="8"/>
      <c r="D939" s="8"/>
      <c r="E939" s="3"/>
      <c r="F939" s="3"/>
      <c r="G939" s="8"/>
      <c r="H939" s="8"/>
      <c r="I939" s="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24" customHeight="1" x14ac:dyDescent="0.25">
      <c r="A940" s="3"/>
      <c r="B940" s="8"/>
      <c r="C940" s="8"/>
      <c r="D940" s="8"/>
      <c r="E940" s="3"/>
      <c r="F940" s="3"/>
      <c r="G940" s="8"/>
      <c r="H940" s="8"/>
      <c r="I940" s="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24" customHeight="1" x14ac:dyDescent="0.25">
      <c r="A941" s="3"/>
      <c r="B941" s="8"/>
      <c r="C941" s="8"/>
      <c r="D941" s="8"/>
      <c r="E941" s="3"/>
      <c r="F941" s="3"/>
      <c r="G941" s="8"/>
      <c r="H941" s="8"/>
      <c r="I941" s="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24" customHeight="1" x14ac:dyDescent="0.25">
      <c r="A942" s="3"/>
      <c r="B942" s="8"/>
      <c r="C942" s="8"/>
      <c r="D942" s="8"/>
      <c r="E942" s="3"/>
      <c r="F942" s="3"/>
      <c r="G942" s="8"/>
      <c r="H942" s="8"/>
      <c r="I942" s="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24" customHeight="1" x14ac:dyDescent="0.25">
      <c r="A943" s="3"/>
      <c r="B943" s="8"/>
      <c r="C943" s="8"/>
      <c r="D943" s="8"/>
      <c r="E943" s="3"/>
      <c r="F943" s="3"/>
      <c r="G943" s="8"/>
      <c r="H943" s="8"/>
      <c r="I943" s="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24" customHeight="1" x14ac:dyDescent="0.25">
      <c r="A944" s="3"/>
      <c r="B944" s="8"/>
      <c r="C944" s="8"/>
      <c r="D944" s="8"/>
      <c r="E944" s="3"/>
      <c r="F944" s="3"/>
      <c r="G944" s="8"/>
      <c r="H944" s="8"/>
      <c r="I944" s="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24" customHeight="1" x14ac:dyDescent="0.25">
      <c r="A945" s="3"/>
      <c r="B945" s="8"/>
      <c r="C945" s="8"/>
      <c r="D945" s="8"/>
      <c r="E945" s="3"/>
      <c r="F945" s="3"/>
      <c r="G945" s="8"/>
      <c r="H945" s="8"/>
      <c r="I945" s="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24" customHeight="1" x14ac:dyDescent="0.25">
      <c r="A946" s="3"/>
      <c r="B946" s="8"/>
      <c r="C946" s="8"/>
      <c r="D946" s="8"/>
      <c r="E946" s="3"/>
      <c r="F946" s="3"/>
      <c r="G946" s="8"/>
      <c r="H946" s="8"/>
      <c r="I946" s="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24" customHeight="1" x14ac:dyDescent="0.25">
      <c r="A947" s="3"/>
      <c r="B947" s="8"/>
      <c r="C947" s="8"/>
      <c r="D947" s="8"/>
      <c r="E947" s="3"/>
      <c r="F947" s="3"/>
      <c r="G947" s="8"/>
      <c r="H947" s="8"/>
      <c r="I947" s="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24" customHeight="1" x14ac:dyDescent="0.25">
      <c r="A948" s="3"/>
      <c r="B948" s="8"/>
      <c r="C948" s="8"/>
      <c r="D948" s="8"/>
      <c r="E948" s="3"/>
      <c r="F948" s="3"/>
      <c r="G948" s="8"/>
      <c r="H948" s="8"/>
      <c r="I948" s="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24" customHeight="1" x14ac:dyDescent="0.25">
      <c r="A949" s="3"/>
      <c r="B949" s="8"/>
      <c r="C949" s="8"/>
      <c r="D949" s="8"/>
      <c r="E949" s="3"/>
      <c r="F949" s="3"/>
      <c r="G949" s="8"/>
      <c r="H949" s="8"/>
      <c r="I949" s="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24" customHeight="1" x14ac:dyDescent="0.25">
      <c r="A950" s="3"/>
      <c r="B950" s="8"/>
      <c r="C950" s="8"/>
      <c r="D950" s="8"/>
      <c r="E950" s="3"/>
      <c r="F950" s="3"/>
      <c r="G950" s="8"/>
      <c r="H950" s="8"/>
      <c r="I950" s="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24" customHeight="1" x14ac:dyDescent="0.25">
      <c r="A951" s="3"/>
      <c r="B951" s="8"/>
      <c r="C951" s="8"/>
      <c r="D951" s="8"/>
      <c r="E951" s="3"/>
      <c r="F951" s="3"/>
      <c r="G951" s="8"/>
      <c r="H951" s="8"/>
      <c r="I951" s="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24" customHeight="1" x14ac:dyDescent="0.25">
      <c r="A952" s="3"/>
      <c r="B952" s="8"/>
      <c r="C952" s="8"/>
      <c r="D952" s="8"/>
      <c r="E952" s="3"/>
      <c r="F952" s="3"/>
      <c r="G952" s="8"/>
      <c r="H952" s="8"/>
      <c r="I952" s="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24" customHeight="1" x14ac:dyDescent="0.25">
      <c r="A953" s="3"/>
      <c r="B953" s="8"/>
      <c r="C953" s="8"/>
      <c r="D953" s="8"/>
      <c r="E953" s="3"/>
      <c r="F953" s="3"/>
      <c r="G953" s="8"/>
      <c r="H953" s="8"/>
      <c r="I953" s="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24" customHeight="1" x14ac:dyDescent="0.25">
      <c r="A954" s="3"/>
      <c r="B954" s="8"/>
      <c r="C954" s="8"/>
      <c r="D954" s="8"/>
      <c r="E954" s="3"/>
      <c r="F954" s="3"/>
      <c r="G954" s="8"/>
      <c r="H954" s="8"/>
      <c r="I954" s="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24" customHeight="1" x14ac:dyDescent="0.25">
      <c r="A955" s="3"/>
      <c r="B955" s="8"/>
      <c r="C955" s="8"/>
      <c r="D955" s="8"/>
      <c r="E955" s="3"/>
      <c r="F955" s="3"/>
      <c r="G955" s="8"/>
      <c r="H955" s="8"/>
      <c r="I955" s="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24" customHeight="1" x14ac:dyDescent="0.25">
      <c r="A956" s="3"/>
      <c r="B956" s="8"/>
      <c r="C956" s="8"/>
      <c r="D956" s="8"/>
      <c r="E956" s="3"/>
      <c r="F956" s="3"/>
      <c r="G956" s="8"/>
      <c r="H956" s="8"/>
      <c r="I956" s="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24" customHeight="1" x14ac:dyDescent="0.25">
      <c r="A957" s="3"/>
      <c r="B957" s="8"/>
      <c r="C957" s="8"/>
      <c r="D957" s="8"/>
      <c r="E957" s="3"/>
      <c r="F957" s="3"/>
      <c r="G957" s="8"/>
      <c r="H957" s="8"/>
      <c r="I957" s="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24" customHeight="1" x14ac:dyDescent="0.25">
      <c r="A958" s="3"/>
      <c r="B958" s="8"/>
      <c r="C958" s="8"/>
      <c r="D958" s="8"/>
      <c r="E958" s="3"/>
      <c r="F958" s="3"/>
      <c r="G958" s="8"/>
      <c r="H958" s="8"/>
      <c r="I958" s="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24" customHeight="1" x14ac:dyDescent="0.25">
      <c r="A959" s="3"/>
      <c r="B959" s="8"/>
      <c r="C959" s="8"/>
      <c r="D959" s="8"/>
      <c r="E959" s="3"/>
      <c r="F959" s="3"/>
      <c r="G959" s="8"/>
      <c r="H959" s="8"/>
      <c r="I959" s="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24" customHeight="1" x14ac:dyDescent="0.25">
      <c r="A960" s="3"/>
      <c r="B960" s="8"/>
      <c r="C960" s="8"/>
      <c r="D960" s="8"/>
      <c r="E960" s="3"/>
      <c r="F960" s="3"/>
      <c r="G960" s="8"/>
      <c r="H960" s="8"/>
      <c r="I960" s="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24" customHeight="1" x14ac:dyDescent="0.25">
      <c r="A961" s="3"/>
      <c r="B961" s="8"/>
      <c r="C961" s="8"/>
      <c r="D961" s="8"/>
      <c r="E961" s="3"/>
      <c r="F961" s="3"/>
      <c r="G961" s="8"/>
      <c r="H961" s="8"/>
      <c r="I961" s="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24" customHeight="1" x14ac:dyDescent="0.25">
      <c r="A962" s="3"/>
      <c r="B962" s="8"/>
      <c r="C962" s="8"/>
      <c r="D962" s="8"/>
      <c r="E962" s="3"/>
      <c r="F962" s="3"/>
      <c r="G962" s="8"/>
      <c r="H962" s="8"/>
      <c r="I962" s="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24" customHeight="1" x14ac:dyDescent="0.25">
      <c r="A963" s="3"/>
      <c r="B963" s="8"/>
      <c r="C963" s="8"/>
      <c r="D963" s="8"/>
      <c r="E963" s="3"/>
      <c r="F963" s="3"/>
      <c r="G963" s="8"/>
      <c r="H963" s="8"/>
      <c r="I963" s="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24" customHeight="1" x14ac:dyDescent="0.25">
      <c r="A964" s="3"/>
      <c r="B964" s="8"/>
      <c r="C964" s="8"/>
      <c r="D964" s="8"/>
      <c r="E964" s="3"/>
      <c r="F964" s="3"/>
      <c r="G964" s="8"/>
      <c r="H964" s="8"/>
      <c r="I964" s="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24" customHeight="1" x14ac:dyDescent="0.25">
      <c r="A965" s="3"/>
      <c r="B965" s="8"/>
      <c r="C965" s="8"/>
      <c r="D965" s="8"/>
      <c r="E965" s="3"/>
      <c r="F965" s="3"/>
      <c r="G965" s="8"/>
      <c r="H965" s="8"/>
      <c r="I965" s="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24" customHeight="1" x14ac:dyDescent="0.25">
      <c r="A966" s="3"/>
      <c r="B966" s="8"/>
      <c r="C966" s="8"/>
      <c r="D966" s="8"/>
      <c r="E966" s="3"/>
      <c r="F966" s="3"/>
      <c r="G966" s="8"/>
      <c r="H966" s="8"/>
      <c r="I966" s="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24" customHeight="1" x14ac:dyDescent="0.25">
      <c r="A967" s="3"/>
      <c r="B967" s="8"/>
      <c r="C967" s="8"/>
      <c r="D967" s="8"/>
      <c r="E967" s="3"/>
      <c r="F967" s="3"/>
      <c r="G967" s="8"/>
      <c r="H967" s="8"/>
      <c r="I967" s="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24" customHeight="1" x14ac:dyDescent="0.25">
      <c r="A968" s="3"/>
      <c r="B968" s="8"/>
      <c r="C968" s="8"/>
      <c r="D968" s="8"/>
      <c r="E968" s="3"/>
      <c r="F968" s="3"/>
      <c r="G968" s="8"/>
      <c r="H968" s="8"/>
      <c r="I968" s="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24" customHeight="1" x14ac:dyDescent="0.25">
      <c r="A969" s="3"/>
      <c r="B969" s="8"/>
      <c r="C969" s="8"/>
      <c r="D969" s="8"/>
      <c r="E969" s="3"/>
      <c r="F969" s="3"/>
      <c r="G969" s="8"/>
      <c r="H969" s="8"/>
      <c r="I969" s="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24" customHeight="1" x14ac:dyDescent="0.25">
      <c r="A970" s="3"/>
      <c r="B970" s="8"/>
      <c r="C970" s="8"/>
      <c r="D970" s="8"/>
      <c r="E970" s="3"/>
      <c r="F970" s="3"/>
      <c r="G970" s="8"/>
      <c r="H970" s="8"/>
      <c r="I970" s="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24" customHeight="1" x14ac:dyDescent="0.25">
      <c r="A971" s="3"/>
      <c r="B971" s="8"/>
      <c r="C971" s="8"/>
      <c r="D971" s="8"/>
      <c r="E971" s="3"/>
      <c r="F971" s="3"/>
      <c r="G971" s="8"/>
      <c r="H971" s="8"/>
      <c r="I971" s="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24" customHeight="1" x14ac:dyDescent="0.25">
      <c r="A972" s="3"/>
      <c r="B972" s="8"/>
      <c r="C972" s="8"/>
      <c r="D972" s="8"/>
      <c r="E972" s="3"/>
      <c r="F972" s="3"/>
      <c r="G972" s="8"/>
      <c r="H972" s="8"/>
      <c r="I972" s="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24" customHeight="1" x14ac:dyDescent="0.25">
      <c r="A973" s="3"/>
      <c r="B973" s="8"/>
      <c r="C973" s="8"/>
      <c r="D973" s="8"/>
      <c r="E973" s="3"/>
      <c r="F973" s="3"/>
      <c r="G973" s="8"/>
      <c r="H973" s="8"/>
      <c r="I973" s="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24" customHeight="1" x14ac:dyDescent="0.25">
      <c r="A974" s="3"/>
      <c r="B974" s="8"/>
      <c r="C974" s="8"/>
      <c r="D974" s="8"/>
      <c r="E974" s="3"/>
      <c r="F974" s="3"/>
      <c r="G974" s="8"/>
      <c r="H974" s="8"/>
      <c r="I974" s="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24" customHeight="1" x14ac:dyDescent="0.25">
      <c r="A975" s="3"/>
      <c r="B975" s="8"/>
      <c r="C975" s="8"/>
      <c r="D975" s="8"/>
      <c r="E975" s="3"/>
      <c r="F975" s="3"/>
      <c r="G975" s="8"/>
      <c r="H975" s="8"/>
      <c r="I975" s="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24" customHeight="1" x14ac:dyDescent="0.25">
      <c r="A976" s="3"/>
      <c r="B976" s="8"/>
      <c r="C976" s="8"/>
      <c r="D976" s="8"/>
      <c r="E976" s="3"/>
      <c r="F976" s="3"/>
      <c r="G976" s="8"/>
      <c r="H976" s="8"/>
      <c r="I976" s="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24" customHeight="1" x14ac:dyDescent="0.25">
      <c r="A977" s="3"/>
      <c r="B977" s="8"/>
      <c r="C977" s="8"/>
      <c r="D977" s="8"/>
      <c r="E977" s="3"/>
      <c r="F977" s="3"/>
      <c r="G977" s="8"/>
      <c r="H977" s="8"/>
      <c r="I977" s="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24" customHeight="1" x14ac:dyDescent="0.25">
      <c r="A978" s="3"/>
      <c r="B978" s="8"/>
      <c r="C978" s="8"/>
      <c r="D978" s="8"/>
      <c r="E978" s="3"/>
      <c r="F978" s="3"/>
      <c r="G978" s="8"/>
      <c r="H978" s="8"/>
      <c r="I978" s="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24" customHeight="1" x14ac:dyDescent="0.25">
      <c r="A979" s="3"/>
      <c r="B979" s="8"/>
      <c r="C979" s="8"/>
      <c r="D979" s="8"/>
      <c r="E979" s="3"/>
      <c r="F979" s="3"/>
      <c r="G979" s="8"/>
      <c r="H979" s="8"/>
      <c r="I979" s="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24" customHeight="1" x14ac:dyDescent="0.25">
      <c r="A980" s="3"/>
      <c r="B980" s="8"/>
      <c r="C980" s="8"/>
      <c r="D980" s="8"/>
      <c r="E980" s="3"/>
      <c r="F980" s="3"/>
      <c r="G980" s="8"/>
      <c r="H980" s="8"/>
      <c r="I980" s="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24" customHeight="1" x14ac:dyDescent="0.25">
      <c r="A981" s="3"/>
      <c r="B981" s="8"/>
      <c r="C981" s="8"/>
      <c r="D981" s="8"/>
      <c r="E981" s="3"/>
      <c r="F981" s="3"/>
      <c r="G981" s="8"/>
      <c r="H981" s="8"/>
      <c r="I981" s="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24" customHeight="1" x14ac:dyDescent="0.25">
      <c r="A982" s="3"/>
      <c r="B982" s="8"/>
      <c r="C982" s="8"/>
      <c r="D982" s="8"/>
      <c r="E982" s="3"/>
      <c r="F982" s="3"/>
      <c r="G982" s="8"/>
      <c r="H982" s="8"/>
      <c r="I982" s="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24" customHeight="1" x14ac:dyDescent="0.25">
      <c r="A983" s="3"/>
      <c r="B983" s="8"/>
      <c r="C983" s="8"/>
      <c r="D983" s="8"/>
      <c r="E983" s="3"/>
      <c r="F983" s="3"/>
      <c r="G983" s="8"/>
      <c r="H983" s="8"/>
      <c r="I983" s="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24" customHeight="1" x14ac:dyDescent="0.25">
      <c r="A984" s="3"/>
      <c r="B984" s="8"/>
      <c r="C984" s="8"/>
      <c r="D984" s="8"/>
      <c r="E984" s="3"/>
      <c r="F984" s="3"/>
      <c r="G984" s="8"/>
      <c r="H984" s="8"/>
      <c r="I984" s="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24" customHeight="1" x14ac:dyDescent="0.25">
      <c r="A985" s="3"/>
      <c r="B985" s="8"/>
      <c r="C985" s="8"/>
      <c r="D985" s="8"/>
      <c r="E985" s="3"/>
      <c r="F985" s="3"/>
      <c r="G985" s="8"/>
      <c r="H985" s="8"/>
      <c r="I985" s="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24" customHeight="1" x14ac:dyDescent="0.25">
      <c r="A986" s="3"/>
      <c r="B986" s="8"/>
      <c r="C986" s="8"/>
      <c r="D986" s="8"/>
      <c r="E986" s="3"/>
      <c r="F986" s="3"/>
      <c r="G986" s="8"/>
      <c r="H986" s="8"/>
      <c r="I986" s="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24" customHeight="1" x14ac:dyDescent="0.25">
      <c r="A987" s="3"/>
      <c r="B987" s="8"/>
      <c r="C987" s="8"/>
      <c r="D987" s="8"/>
      <c r="E987" s="3"/>
      <c r="F987" s="3"/>
      <c r="G987" s="8"/>
      <c r="H987" s="8"/>
      <c r="I987" s="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24" customHeight="1" x14ac:dyDescent="0.25">
      <c r="A988" s="3"/>
      <c r="B988" s="8"/>
      <c r="C988" s="8"/>
      <c r="D988" s="8"/>
      <c r="E988" s="3"/>
      <c r="F988" s="3"/>
      <c r="G988" s="8"/>
      <c r="H988" s="8"/>
      <c r="I988" s="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24" customHeight="1" x14ac:dyDescent="0.25">
      <c r="A989" s="3"/>
      <c r="B989" s="8"/>
      <c r="C989" s="8"/>
      <c r="D989" s="8"/>
      <c r="E989" s="3"/>
      <c r="F989" s="3"/>
      <c r="G989" s="8"/>
      <c r="H989" s="8"/>
      <c r="I989" s="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24" customHeight="1" x14ac:dyDescent="0.25">
      <c r="A990" s="3"/>
      <c r="B990" s="8"/>
      <c r="C990" s="8"/>
      <c r="D990" s="8"/>
      <c r="E990" s="3"/>
      <c r="F990" s="3"/>
      <c r="G990" s="8"/>
      <c r="H990" s="8"/>
      <c r="I990" s="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24" customHeight="1" x14ac:dyDescent="0.25">
      <c r="A991" s="3"/>
      <c r="B991" s="8"/>
      <c r="C991" s="8"/>
      <c r="D991" s="8"/>
      <c r="E991" s="3"/>
      <c r="F991" s="3"/>
      <c r="G991" s="8"/>
      <c r="H991" s="8"/>
      <c r="I991" s="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24" customHeight="1" x14ac:dyDescent="0.25">
      <c r="A992" s="3"/>
      <c r="B992" s="8"/>
      <c r="C992" s="8"/>
      <c r="D992" s="8"/>
      <c r="E992" s="3"/>
      <c r="F992" s="3"/>
      <c r="G992" s="8"/>
      <c r="H992" s="8"/>
      <c r="I992" s="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24" customHeight="1" x14ac:dyDescent="0.25">
      <c r="A993" s="3"/>
      <c r="B993" s="8"/>
      <c r="C993" s="8"/>
      <c r="D993" s="8"/>
      <c r="E993" s="3"/>
      <c r="F993" s="3"/>
      <c r="G993" s="8"/>
      <c r="H993" s="8"/>
      <c r="I993" s="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24" customHeight="1" x14ac:dyDescent="0.25">
      <c r="A994" s="3"/>
      <c r="B994" s="8"/>
      <c r="C994" s="8"/>
      <c r="D994" s="8"/>
      <c r="E994" s="3"/>
      <c r="F994" s="3"/>
      <c r="G994" s="8"/>
      <c r="H994" s="8"/>
      <c r="I994" s="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24" customHeight="1" x14ac:dyDescent="0.25">
      <c r="A995" s="3"/>
      <c r="B995" s="8"/>
      <c r="C995" s="8"/>
      <c r="D995" s="8"/>
      <c r="E995" s="3"/>
      <c r="F995" s="3"/>
      <c r="G995" s="8"/>
      <c r="H995" s="8"/>
      <c r="I995" s="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24" customHeight="1" x14ac:dyDescent="0.25">
      <c r="A996" s="3"/>
      <c r="B996" s="8"/>
      <c r="C996" s="8"/>
      <c r="D996" s="8"/>
      <c r="E996" s="3"/>
      <c r="F996" s="3"/>
      <c r="G996" s="8"/>
      <c r="H996" s="8"/>
      <c r="I996" s="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24" customHeight="1" x14ac:dyDescent="0.25">
      <c r="A997" s="3"/>
      <c r="B997" s="8"/>
      <c r="C997" s="8"/>
      <c r="D997" s="8"/>
      <c r="E997" s="3"/>
      <c r="F997" s="3"/>
      <c r="G997" s="8"/>
      <c r="H997" s="8"/>
      <c r="I997" s="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ht="24" customHeight="1" x14ac:dyDescent="0.25">
      <c r="A998" s="3"/>
      <c r="B998" s="8"/>
      <c r="C998" s="8"/>
      <c r="D998" s="8"/>
      <c r="E998" s="3"/>
      <c r="F998" s="3"/>
      <c r="G998" s="8"/>
      <c r="H998" s="8"/>
      <c r="I998" s="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ht="24" customHeight="1" x14ac:dyDescent="0.25">
      <c r="A999" s="3"/>
      <c r="B999" s="8"/>
      <c r="C999" s="8"/>
      <c r="D999" s="8"/>
      <c r="E999" s="3"/>
      <c r="F999" s="3"/>
      <c r="G999" s="8"/>
      <c r="H999" s="8"/>
      <c r="I999" s="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ht="24" customHeight="1" x14ac:dyDescent="0.25">
      <c r="A1000" s="3"/>
      <c r="B1000" s="8"/>
      <c r="C1000" s="8"/>
      <c r="D1000" s="8"/>
      <c r="E1000" s="3"/>
      <c r="F1000" s="3"/>
      <c r="G1000" s="8"/>
      <c r="H1000" s="8"/>
      <c r="I1000" s="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spans="1:24" ht="24" customHeight="1" x14ac:dyDescent="0.25">
      <c r="A1001" s="3"/>
      <c r="B1001" s="8"/>
      <c r="C1001" s="8"/>
      <c r="D1001" s="8"/>
      <c r="E1001" s="3"/>
      <c r="F1001" s="3"/>
      <c r="G1001" s="8"/>
      <c r="H1001" s="8"/>
      <c r="I1001" s="3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spans="1:24" ht="24" customHeight="1" x14ac:dyDescent="0.25">
      <c r="A1002" s="3"/>
      <c r="B1002" s="8"/>
      <c r="C1002" s="8"/>
      <c r="D1002" s="8"/>
      <c r="E1002" s="3"/>
      <c r="F1002" s="3"/>
      <c r="G1002" s="8"/>
      <c r="H1002" s="8"/>
      <c r="I1002" s="3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</sheetData>
  <mergeCells count="169"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113:D113"/>
    <mergeCell ref="A102:D102"/>
    <mergeCell ref="A103:D103"/>
    <mergeCell ref="A104:D104"/>
    <mergeCell ref="A105:D105"/>
    <mergeCell ref="A106:D106"/>
    <mergeCell ref="A107:D107"/>
    <mergeCell ref="A108:D108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97:D97"/>
    <mergeCell ref="A98:D98"/>
    <mergeCell ref="A99:D99"/>
    <mergeCell ref="A100:D100"/>
    <mergeCell ref="A101:D101"/>
    <mergeCell ref="A109:D109"/>
    <mergeCell ref="A110:D110"/>
    <mergeCell ref="A111:D111"/>
    <mergeCell ref="A112:D112"/>
    <mergeCell ref="A39:D39"/>
    <mergeCell ref="A40:D40"/>
    <mergeCell ref="A41:D41"/>
    <mergeCell ref="A42:D42"/>
    <mergeCell ref="A43:D43"/>
    <mergeCell ref="A44:D44"/>
    <mergeCell ref="A45:D45"/>
    <mergeCell ref="A95:D95"/>
    <mergeCell ref="A96:D96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Q37:R37"/>
    <mergeCell ref="S37:T37"/>
    <mergeCell ref="A34:D34"/>
    <mergeCell ref="A36:H36"/>
    <mergeCell ref="A37:D38"/>
    <mergeCell ref="E37:F37"/>
    <mergeCell ref="G37:H37"/>
    <mergeCell ref="I37:J37"/>
    <mergeCell ref="K37:L37"/>
    <mergeCell ref="A27:D27"/>
    <mergeCell ref="A28:D28"/>
    <mergeCell ref="A29:D29"/>
    <mergeCell ref="A30:D30"/>
    <mergeCell ref="A31:D31"/>
    <mergeCell ref="A32:D32"/>
    <mergeCell ref="A33:D33"/>
    <mergeCell ref="M37:N37"/>
    <mergeCell ref="O37:P37"/>
    <mergeCell ref="G25:H25"/>
    <mergeCell ref="I25:J25"/>
    <mergeCell ref="K25:L25"/>
    <mergeCell ref="M25:N25"/>
    <mergeCell ref="O25:P25"/>
    <mergeCell ref="Q25:R25"/>
    <mergeCell ref="S25:T25"/>
    <mergeCell ref="C17:D17"/>
    <mergeCell ref="C18:D18"/>
    <mergeCell ref="C21:D21"/>
    <mergeCell ref="A23:H23"/>
    <mergeCell ref="A24:H24"/>
    <mergeCell ref="A25:D26"/>
    <mergeCell ref="E25:F25"/>
    <mergeCell ref="C19:D19"/>
    <mergeCell ref="C20:D20"/>
    <mergeCell ref="A10:A11"/>
    <mergeCell ref="A13:A19"/>
    <mergeCell ref="B13:B19"/>
    <mergeCell ref="C13:D13"/>
    <mergeCell ref="C14:D14"/>
    <mergeCell ref="C15:D15"/>
    <mergeCell ref="C16:D16"/>
    <mergeCell ref="A1:R1"/>
    <mergeCell ref="A2:R2"/>
    <mergeCell ref="A4:H4"/>
    <mergeCell ref="A5:D6"/>
    <mergeCell ref="E5:F5"/>
    <mergeCell ref="G5:H5"/>
    <mergeCell ref="I5:J5"/>
    <mergeCell ref="Q6:R6"/>
    <mergeCell ref="S7:T7"/>
    <mergeCell ref="A12:D12"/>
    <mergeCell ref="K5:L5"/>
    <mergeCell ref="M5:N5"/>
    <mergeCell ref="O5:P5"/>
    <mergeCell ref="Q5:R5"/>
    <mergeCell ref="S5:T5"/>
    <mergeCell ref="U5:V5"/>
    <mergeCell ref="M6:N6"/>
    <mergeCell ref="O6:P6"/>
    <mergeCell ref="S6:T6"/>
    <mergeCell ref="U6:V6"/>
    <mergeCell ref="U7:V7"/>
    <mergeCell ref="G8:H8"/>
    <mergeCell ref="I8:J8"/>
    <mergeCell ref="K8:L8"/>
    <mergeCell ref="M8:N8"/>
    <mergeCell ref="O8:P8"/>
    <mergeCell ref="Q8:R8"/>
    <mergeCell ref="S8:T8"/>
    <mergeCell ref="U8:V8"/>
    <mergeCell ref="A7:D7"/>
    <mergeCell ref="E7:F7"/>
    <mergeCell ref="G7:H7"/>
    <mergeCell ref="A8:D8"/>
    <mergeCell ref="E8:F8"/>
    <mergeCell ref="M10:N10"/>
    <mergeCell ref="O10:P10"/>
    <mergeCell ref="Q10:R10"/>
    <mergeCell ref="S10:T10"/>
    <mergeCell ref="B10:B11"/>
    <mergeCell ref="C10:D11"/>
    <mergeCell ref="E10:F10"/>
    <mergeCell ref="G10:H10"/>
    <mergeCell ref="I10:J10"/>
    <mergeCell ref="K10:L10"/>
    <mergeCell ref="I6:J6"/>
    <mergeCell ref="K6:L6"/>
    <mergeCell ref="I7:J7"/>
    <mergeCell ref="K7:L7"/>
    <mergeCell ref="M7:N7"/>
    <mergeCell ref="O7:P7"/>
    <mergeCell ref="Q7:R7"/>
    <mergeCell ref="E6:F6"/>
    <mergeCell ref="G6:H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31"/>
  <sheetViews>
    <sheetView workbookViewId="0"/>
  </sheetViews>
  <sheetFormatPr defaultColWidth="12.6640625" defaultRowHeight="15.75" customHeight="1" x14ac:dyDescent="0.25"/>
  <sheetData>
    <row r="1" spans="1:28" ht="31.8" x14ac:dyDescent="0.25">
      <c r="A1" s="120" t="s">
        <v>215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2"/>
      <c r="P1" s="2"/>
      <c r="Q1" s="2"/>
      <c r="R1" s="2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24.6" x14ac:dyDescent="0.25">
      <c r="A2" s="121" t="s">
        <v>216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2"/>
      <c r="P2" s="2"/>
      <c r="Q2" s="2"/>
      <c r="R2" s="2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4.4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 ht="20.399999999999999" x14ac:dyDescent="0.25">
      <c r="A4" s="35" t="s">
        <v>217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 ht="20.399999999999999" x14ac:dyDescent="0.25">
      <c r="A5" s="122"/>
      <c r="B5" s="77"/>
      <c r="C5" s="103" t="s">
        <v>1</v>
      </c>
      <c r="D5" s="78"/>
      <c r="E5" s="103" t="s">
        <v>19</v>
      </c>
      <c r="F5" s="78"/>
      <c r="G5" s="103" t="s">
        <v>20</v>
      </c>
      <c r="H5" s="86"/>
      <c r="I5" s="103" t="s">
        <v>21</v>
      </c>
      <c r="J5" s="78"/>
      <c r="K5" s="103" t="s">
        <v>22</v>
      </c>
      <c r="L5" s="78"/>
      <c r="M5" s="113" t="s">
        <v>218</v>
      </c>
      <c r="N5" s="86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ht="22.5" customHeight="1" x14ac:dyDescent="0.25">
      <c r="A6" s="36" t="s">
        <v>219</v>
      </c>
      <c r="B6" s="36"/>
      <c r="C6" s="37" t="s">
        <v>119</v>
      </c>
      <c r="D6" s="37" t="s">
        <v>220</v>
      </c>
      <c r="E6" s="38" t="s">
        <v>119</v>
      </c>
      <c r="F6" s="37" t="s">
        <v>220</v>
      </c>
      <c r="G6" s="38" t="s">
        <v>119</v>
      </c>
      <c r="H6" s="38" t="s">
        <v>220</v>
      </c>
      <c r="I6" s="38" t="s">
        <v>119</v>
      </c>
      <c r="J6" s="37" t="s">
        <v>220</v>
      </c>
      <c r="K6" s="38" t="s">
        <v>119</v>
      </c>
      <c r="L6" s="37" t="s">
        <v>220</v>
      </c>
      <c r="M6" s="39" t="s">
        <v>119</v>
      </c>
      <c r="N6" s="39" t="s">
        <v>220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ht="21" x14ac:dyDescent="0.25">
      <c r="A7" s="114" t="s">
        <v>221</v>
      </c>
      <c r="B7" s="77"/>
      <c r="C7" s="40">
        <v>274</v>
      </c>
      <c r="D7" s="41">
        <f>'BC SỐ LIỆU'!E19</f>
        <v>49</v>
      </c>
      <c r="E7" s="40">
        <v>272</v>
      </c>
      <c r="F7" s="41">
        <v>264</v>
      </c>
      <c r="G7" s="40">
        <v>435</v>
      </c>
      <c r="H7" s="40">
        <v>91</v>
      </c>
      <c r="I7" s="40">
        <v>328</v>
      </c>
      <c r="J7" s="41">
        <v>94</v>
      </c>
      <c r="K7" s="40" t="e">
        <f>'[1]Bs Cường'!K8</f>
        <v>#REF!</v>
      </c>
      <c r="L7" s="41"/>
      <c r="M7" s="42">
        <f t="shared" ref="M7:N7" si="0">C7+E7</f>
        <v>546</v>
      </c>
      <c r="N7" s="42">
        <f t="shared" si="0"/>
        <v>313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8" ht="21" hidden="1" x14ac:dyDescent="0.25">
      <c r="A8" s="115" t="s">
        <v>222</v>
      </c>
      <c r="B8" s="86"/>
      <c r="C8" s="43">
        <v>3</v>
      </c>
      <c r="D8" s="44">
        <v>2</v>
      </c>
      <c r="E8" s="43">
        <v>13</v>
      </c>
      <c r="F8" s="44">
        <v>1</v>
      </c>
      <c r="G8" s="43">
        <v>12</v>
      </c>
      <c r="H8" s="44">
        <v>1</v>
      </c>
      <c r="I8" s="43"/>
      <c r="J8" s="44"/>
      <c r="K8" s="43"/>
      <c r="L8" s="44"/>
      <c r="M8" s="45">
        <f t="shared" ref="M8:N8" si="1">C8+E8+G8</f>
        <v>28</v>
      </c>
      <c r="N8" s="42">
        <f t="shared" si="1"/>
        <v>4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21" x14ac:dyDescent="0.25">
      <c r="A9" s="46" t="s">
        <v>223</v>
      </c>
      <c r="B9" s="47"/>
      <c r="C9" s="48">
        <v>7</v>
      </c>
      <c r="D9" s="49">
        <v>2</v>
      </c>
      <c r="E9" s="48">
        <v>3</v>
      </c>
      <c r="F9" s="49"/>
      <c r="G9" s="48">
        <v>12</v>
      </c>
      <c r="H9" s="49"/>
      <c r="I9" s="48">
        <v>15</v>
      </c>
      <c r="J9" s="49"/>
      <c r="K9" s="48">
        <v>6</v>
      </c>
      <c r="L9" s="49"/>
      <c r="M9" s="50">
        <f t="shared" ref="M9:M12" si="2">C9+E9+G9</f>
        <v>22</v>
      </c>
      <c r="N9" s="51">
        <f>D9+F9</f>
        <v>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21" hidden="1" x14ac:dyDescent="0.25">
      <c r="A10" s="116" t="s">
        <v>224</v>
      </c>
      <c r="B10" s="80"/>
      <c r="C10" s="43">
        <v>21</v>
      </c>
      <c r="D10" s="44">
        <v>1</v>
      </c>
      <c r="E10" s="43">
        <v>67</v>
      </c>
      <c r="F10" s="44">
        <v>5</v>
      </c>
      <c r="G10" s="43">
        <v>64</v>
      </c>
      <c r="H10" s="44">
        <v>7</v>
      </c>
      <c r="I10" s="43"/>
      <c r="J10" s="53"/>
      <c r="K10" s="43"/>
      <c r="L10" s="53"/>
      <c r="M10" s="54">
        <f t="shared" si="2"/>
        <v>152</v>
      </c>
      <c r="N10" s="51">
        <f>D10+F10+H10</f>
        <v>13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21" x14ac:dyDescent="0.25">
      <c r="A11" s="117" t="s">
        <v>225</v>
      </c>
      <c r="B11" s="88"/>
      <c r="C11" s="48">
        <v>46</v>
      </c>
      <c r="D11" s="49">
        <v>1</v>
      </c>
      <c r="E11" s="48">
        <v>35</v>
      </c>
      <c r="F11" s="49">
        <v>2</v>
      </c>
      <c r="G11" s="48">
        <v>82</v>
      </c>
      <c r="H11" s="49">
        <v>4</v>
      </c>
      <c r="I11" s="55">
        <v>68</v>
      </c>
      <c r="J11" s="49"/>
      <c r="K11" s="55" t="e">
        <f>'[1]Bs Cường'!K22+'[2]Bs Bình'!K22+'[3]Bs Lộc'!K21+'[4]Bs Tâm'!K22</f>
        <v>#REF!</v>
      </c>
      <c r="L11" s="49">
        <v>2</v>
      </c>
      <c r="M11" s="56">
        <f t="shared" si="2"/>
        <v>163</v>
      </c>
      <c r="N11" s="51">
        <v>7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21" hidden="1" x14ac:dyDescent="0.25">
      <c r="A12" s="118" t="s">
        <v>226</v>
      </c>
      <c r="B12" s="86"/>
      <c r="C12" s="43">
        <v>16</v>
      </c>
      <c r="D12" s="44"/>
      <c r="E12" s="43">
        <v>52</v>
      </c>
      <c r="F12" s="44">
        <v>2</v>
      </c>
      <c r="G12" s="43">
        <v>69</v>
      </c>
      <c r="H12" s="44">
        <v>4</v>
      </c>
      <c r="I12" s="43"/>
      <c r="J12" s="44"/>
      <c r="K12" s="43"/>
      <c r="L12" s="44"/>
      <c r="M12" s="57">
        <f t="shared" si="2"/>
        <v>137</v>
      </c>
      <c r="N12" s="51">
        <v>6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1" x14ac:dyDescent="0.25">
      <c r="A13" s="58" t="s">
        <v>227</v>
      </c>
      <c r="B13" s="59"/>
      <c r="C13" s="49">
        <v>36</v>
      </c>
      <c r="D13" s="49"/>
      <c r="E13" s="49">
        <v>11</v>
      </c>
      <c r="F13" s="49"/>
      <c r="G13" s="49">
        <v>82</v>
      </c>
      <c r="H13" s="49"/>
      <c r="I13" s="60">
        <v>69</v>
      </c>
      <c r="J13" s="60"/>
      <c r="K13" s="60" t="e">
        <f>'[1]Bs Cường'!K25+'[2]Bs Bình'!K25+'[3]Bs Lộc'!K24+'[4]Bs Tâm'!K25</f>
        <v>#REF!</v>
      </c>
      <c r="L13" s="60"/>
      <c r="M13" s="61">
        <f>C13</f>
        <v>36</v>
      </c>
      <c r="N13" s="62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21" x14ac:dyDescent="0.25">
      <c r="A14" s="119" t="s">
        <v>228</v>
      </c>
      <c r="B14" s="88"/>
      <c r="C14" s="48">
        <v>1</v>
      </c>
      <c r="D14" s="49"/>
      <c r="E14" s="48">
        <v>5</v>
      </c>
      <c r="F14" s="49"/>
      <c r="G14" s="48">
        <v>14</v>
      </c>
      <c r="H14" s="49"/>
      <c r="I14" s="55">
        <v>7</v>
      </c>
      <c r="J14" s="49"/>
      <c r="K14" s="55">
        <v>12</v>
      </c>
      <c r="L14" s="49"/>
      <c r="M14" s="63">
        <f>C14+E14</f>
        <v>6</v>
      </c>
      <c r="N14" s="62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21" hidden="1" x14ac:dyDescent="0.25">
      <c r="A15" s="52" t="s">
        <v>229</v>
      </c>
      <c r="B15" s="64"/>
      <c r="C15" s="43">
        <v>11</v>
      </c>
      <c r="D15" s="65"/>
      <c r="E15" s="43"/>
      <c r="F15" s="65"/>
      <c r="G15" s="43"/>
      <c r="H15" s="65"/>
      <c r="I15" s="43"/>
      <c r="J15" s="66"/>
      <c r="K15" s="66"/>
      <c r="L15" s="66"/>
      <c r="M15" s="54">
        <f t="shared" ref="M15:M16" si="3">C15</f>
        <v>11</v>
      </c>
      <c r="N15" s="67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21" hidden="1" x14ac:dyDescent="0.25">
      <c r="A16" s="46" t="s">
        <v>230</v>
      </c>
      <c r="B16" s="47"/>
      <c r="C16" s="48">
        <v>52</v>
      </c>
      <c r="D16" s="65"/>
      <c r="E16" s="48"/>
      <c r="F16" s="65"/>
      <c r="G16" s="48"/>
      <c r="H16" s="65"/>
      <c r="I16" s="48"/>
      <c r="J16" s="66"/>
      <c r="K16" s="66"/>
      <c r="L16" s="66"/>
      <c r="M16" s="68">
        <f t="shared" si="3"/>
        <v>52</v>
      </c>
      <c r="N16" s="6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1" hidden="1" x14ac:dyDescent="0.25">
      <c r="A17" s="115" t="s">
        <v>231</v>
      </c>
      <c r="B17" s="86"/>
      <c r="C17" s="69"/>
      <c r="D17" s="70"/>
      <c r="E17" s="69"/>
      <c r="F17" s="70"/>
      <c r="G17" s="69"/>
      <c r="H17" s="70"/>
      <c r="I17" s="69"/>
      <c r="J17" s="70"/>
      <c r="K17" s="69"/>
      <c r="L17" s="69"/>
      <c r="M17" s="71"/>
      <c r="N17" s="72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1" hidden="1" x14ac:dyDescent="0.25">
      <c r="A18" s="117" t="s">
        <v>232</v>
      </c>
      <c r="B18" s="88"/>
      <c r="C18" s="48"/>
      <c r="D18" s="49"/>
      <c r="E18" s="48"/>
      <c r="F18" s="49"/>
      <c r="G18" s="48"/>
      <c r="H18" s="49"/>
      <c r="I18" s="48"/>
      <c r="J18" s="49"/>
      <c r="K18" s="48"/>
      <c r="L18" s="48"/>
      <c r="M18" s="73"/>
      <c r="N18" s="7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14.4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75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1" x14ac:dyDescent="0.25">
      <c r="A20" s="34"/>
      <c r="B20" s="3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1" t="s">
        <v>210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0.399999999999999" x14ac:dyDescent="0.25">
      <c r="A21" s="34"/>
      <c r="B21" s="5" t="s">
        <v>211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5" t="s">
        <v>212</v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14.4" x14ac:dyDescent="0.25">
      <c r="A22" s="3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14.4" x14ac:dyDescent="0.25">
      <c r="A23" s="3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14.4" x14ac:dyDescent="0.25">
      <c r="A24" s="3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14.4" x14ac:dyDescent="0.25">
      <c r="A25" s="3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14.4" x14ac:dyDescent="0.25">
      <c r="A26" s="3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20.399999999999999" x14ac:dyDescent="0.25">
      <c r="A27" s="34"/>
      <c r="B27" s="5" t="s">
        <v>213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5" t="s">
        <v>214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14.4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ht="14.4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14.4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ht="14.4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14.4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4.4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spans="1:28" ht="14.4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ht="14.4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spans="1:28" ht="14.4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ht="14.4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14.4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spans="1:28" ht="14.4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spans="1:28" ht="14.4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ht="14.4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ht="14.4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spans="1:28" ht="14.4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ht="14.4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1:28" ht="14.4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1:28" ht="14.4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ht="14.4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ht="14.4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ht="14.4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ht="14.4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ht="14.4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ht="14.4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ht="14.4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spans="1:28" ht="14.4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ht="14.4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ht="14.4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spans="1:28" ht="14.4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spans="1:28" ht="14.4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ht="14.4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spans="1:28" ht="14.4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spans="1:28" ht="14.4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ht="14.4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spans="1:28" ht="14.4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ht="14.4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ht="14.4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spans="1:28" ht="14.4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spans="1:28" ht="14.4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ht="14.4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spans="1:28" ht="14.4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spans="1:28" ht="14.4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ht="14.4" x14ac:dyDescent="0.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spans="1:28" ht="14.4" x14ac:dyDescent="0.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spans="1:28" ht="14.4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spans="1:28" ht="14.4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8" ht="14.4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spans="1:28" ht="14.4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spans="1:28" ht="14.4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spans="1:28" ht="14.4" x14ac:dyDescent="0.2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spans="1:28" ht="14.4" x14ac:dyDescent="0.2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spans="1:28" ht="14.4" x14ac:dyDescent="0.2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spans="1:28" ht="14.4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spans="1:28" ht="14.4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spans="1:28" ht="14.4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ht="14.4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spans="1:28" ht="14.4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 ht="14.4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 ht="14.4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spans="1:28" ht="14.4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spans="1:28" ht="14.4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spans="1:28" ht="14.4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spans="1:28" ht="14.4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spans="1:28" ht="14.4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spans="1:28" ht="14.4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spans="1:28" ht="14.4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spans="1:28" ht="14.4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spans="1:28" ht="14.4" x14ac:dyDescent="0.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spans="1:28" ht="14.4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 ht="14.4" x14ac:dyDescent="0.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spans="1:28" ht="14.4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1:28" ht="14.4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spans="1:28" ht="14.4" x14ac:dyDescent="0.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spans="1:28" ht="14.4" x14ac:dyDescent="0.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spans="1:28" ht="14.4" x14ac:dyDescent="0.2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spans="1:28" ht="14.4" x14ac:dyDescent="0.2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spans="1:28" ht="14.4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spans="1:28" ht="14.4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spans="1:28" ht="14.4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spans="1:28" ht="14.4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spans="1:28" ht="14.4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spans="1:28" ht="14.4" x14ac:dyDescent="0.2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spans="1:28" ht="14.4" x14ac:dyDescent="0.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spans="1:28" ht="14.4" x14ac:dyDescent="0.2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spans="1:28" ht="14.4" x14ac:dyDescent="0.2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spans="1:28" ht="14.4" x14ac:dyDescent="0.2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spans="1:28" ht="14.4" x14ac:dyDescent="0.2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spans="1:28" ht="14.4" x14ac:dyDescent="0.2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spans="1:28" ht="14.4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spans="1:28" ht="14.4" x14ac:dyDescent="0.2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spans="1:28" ht="14.4" x14ac:dyDescent="0.2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spans="1:28" ht="14.4" x14ac:dyDescent="0.2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spans="1:28" ht="14.4" x14ac:dyDescent="0.2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 ht="14.4" x14ac:dyDescent="0.2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spans="1:28" ht="14.4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spans="1:28" ht="14.4" x14ac:dyDescent="0.2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 ht="14.4" x14ac:dyDescent="0.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spans="1:28" ht="14.4" x14ac:dyDescent="0.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spans="1:28" ht="14.4" x14ac:dyDescent="0.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1:28" ht="14.4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spans="1:28" ht="14.4" x14ac:dyDescent="0.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spans="1:28" ht="14.4" x14ac:dyDescent="0.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spans="1:28" ht="14.4" x14ac:dyDescent="0.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1:28" ht="14.4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spans="1:28" ht="14.4" x14ac:dyDescent="0.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spans="1:28" ht="14.4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spans="1:28" ht="14.4" x14ac:dyDescent="0.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spans="1:28" ht="14.4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spans="1:28" ht="14.4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spans="1:28" ht="14.4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spans="1:28" ht="14.4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spans="1:28" ht="14.4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spans="1:28" ht="14.4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spans="1:28" ht="14.4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spans="1:28" ht="14.4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spans="1:28" ht="14.4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spans="1:28" ht="14.4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spans="1:28" ht="14.4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spans="1:28" ht="14.4" x14ac:dyDescent="0.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spans="1:28" ht="14.4" x14ac:dyDescent="0.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spans="1:28" ht="14.4" x14ac:dyDescent="0.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spans="1:28" ht="14.4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spans="1:28" ht="14.4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spans="1:28" ht="14.4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spans="1:28" ht="14.4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spans="1:28" ht="14.4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spans="1:28" ht="14.4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1:28" ht="14.4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spans="1:28" ht="14.4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spans="1:28" ht="14.4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spans="1:28" ht="14.4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spans="1:28" ht="14.4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spans="1:28" ht="14.4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spans="1:28" ht="14.4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spans="1:28" ht="14.4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spans="1:28" ht="14.4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spans="1:28" ht="14.4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spans="1:28" ht="14.4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spans="1:28" ht="14.4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spans="1:28" ht="14.4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spans="1:28" ht="14.4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spans="1:28" ht="14.4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spans="1:28" ht="14.4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spans="1:28" ht="14.4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spans="1:28" ht="14.4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spans="1:28" ht="14.4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spans="1:28" ht="14.4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spans="1:28" ht="14.4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spans="1:28" ht="14.4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spans="1:28" ht="14.4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spans="1:28" ht="14.4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spans="1:28" ht="14.4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spans="1:28" ht="14.4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spans="1:28" ht="14.4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spans="1:28" ht="14.4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spans="1:28" ht="14.4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spans="1:28" ht="14.4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spans="1:28" ht="14.4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spans="1:28" ht="14.4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spans="1:28" ht="14.4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spans="1:28" ht="14.4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spans="1:28" ht="14.4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spans="1:28" ht="14.4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spans="1:28" ht="14.4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spans="1:28" ht="14.4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spans="1:28" ht="14.4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spans="1:28" ht="14.4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spans="1:28" ht="14.4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spans="1:28" ht="14.4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spans="1:28" ht="14.4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spans="1:28" ht="14.4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spans="1:28" ht="14.4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spans="1:28" ht="14.4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spans="1:28" ht="14.4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spans="1:28" ht="14.4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spans="1:28" ht="14.4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spans="1:28" ht="14.4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spans="1:28" ht="14.4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spans="1:28" ht="14.4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spans="1:28" ht="14.4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spans="1:28" ht="14.4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spans="1:28" ht="14.4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spans="1:28" ht="14.4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spans="1:28" ht="14.4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spans="1:28" ht="14.4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spans="1:28" ht="14.4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spans="1:28" ht="14.4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spans="1:28" ht="14.4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spans="1:28" ht="14.4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spans="1:28" ht="14.4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spans="1:28" ht="14.4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spans="1:28" ht="14.4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spans="1:28" ht="14.4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 spans="1:28" ht="14.4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 spans="1:28" ht="14.4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spans="1:28" ht="14.4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spans="1:28" ht="14.4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spans="1:28" ht="14.4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spans="1:28" ht="14.4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spans="1:28" ht="14.4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spans="1:28" ht="14.4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spans="1:28" ht="14.4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spans="1:28" ht="14.4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 spans="1:28" ht="14.4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 spans="1:28" ht="14.4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 spans="1:28" ht="14.4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 spans="1:28" ht="14.4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 spans="1:28" ht="14.4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 spans="1:28" ht="14.4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 spans="1:28" ht="14.4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 spans="1:28" ht="14.4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spans="1:28" ht="14.4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spans="1:28" ht="14.4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spans="1:28" ht="14.4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spans="1:28" ht="14.4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spans="1:28" ht="14.4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spans="1:28" ht="14.4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spans="1:28" ht="14.4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spans="1:28" ht="14.4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spans="1:28" ht="14.4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spans="1:28" ht="14.4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spans="1:28" ht="14.4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spans="1:28" ht="14.4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spans="1:28" ht="14.4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spans="1:28" ht="14.4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spans="1:28" ht="14.4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spans="1:28" ht="14.4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 spans="1:28" ht="14.4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 spans="1:28" ht="14.4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 spans="1:28" ht="14.4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 spans="1:28" ht="14.4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 spans="1:28" ht="14.4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 spans="1:28" ht="14.4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 spans="1:28" ht="14.4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 spans="1:28" ht="14.4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 spans="1:28" ht="14.4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 spans="1:28" ht="14.4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spans="1:28" ht="14.4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spans="1:28" ht="14.4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spans="1:28" ht="14.4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spans="1:28" ht="14.4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spans="1:28" ht="14.4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spans="1:28" ht="14.4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spans="1:28" ht="14.4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spans="1:28" ht="14.4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 spans="1:28" ht="14.4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 spans="1:28" ht="14.4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 spans="1:28" ht="14.4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 spans="1:28" ht="14.4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 spans="1:28" ht="14.4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 spans="1:28" ht="14.4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 spans="1:28" ht="14.4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 spans="1:28" ht="14.4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 spans="1:28" ht="14.4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 spans="1:28" ht="14.4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 spans="1:28" ht="14.4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spans="1:28" ht="14.4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spans="1:28" ht="14.4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spans="1:28" ht="14.4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spans="1:28" ht="14.4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spans="1:28" ht="14.4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spans="1:28" ht="14.4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spans="1:28" ht="14.4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spans="1:28" ht="14.4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spans="1:28" ht="14.4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spans="1:28" ht="14.4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spans="1:28" ht="14.4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 spans="1:28" ht="14.4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 spans="1:28" ht="14.4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 spans="1:28" ht="14.4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 spans="1:28" ht="14.4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 spans="1:28" ht="14.4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 spans="1:28" ht="14.4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 spans="1:28" ht="14.4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 spans="1:28" ht="14.4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 spans="1:28" ht="14.4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 spans="1:28" ht="14.4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spans="1:28" ht="14.4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spans="1:28" ht="14.4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spans="1:28" ht="14.4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spans="1:28" ht="14.4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spans="1:28" ht="14.4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spans="1:28" ht="14.4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spans="1:28" ht="14.4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spans="1:28" ht="14.4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spans="1:28" ht="14.4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spans="1:28" ht="14.4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spans="1:28" ht="14.4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spans="1:28" ht="14.4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spans="1:28" ht="14.4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spans="1:28" ht="14.4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spans="1:28" ht="14.4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 spans="1:28" ht="14.4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 spans="1:28" ht="14.4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 spans="1:28" ht="14.4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 spans="1:28" ht="14.4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 spans="1:28" ht="14.4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 spans="1:28" ht="14.4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 spans="1:28" ht="14.4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 spans="1:28" ht="14.4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 spans="1:28" ht="14.4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 spans="1:28" ht="14.4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 spans="1:28" ht="14.4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 spans="1:28" ht="14.4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 spans="1:28" ht="14.4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 spans="1:28" ht="14.4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 spans="1:28" ht="14.4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 spans="1:28" ht="14.4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 spans="1:28" ht="14.4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 spans="1:28" ht="14.4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 spans="1:28" ht="14.4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 spans="1:28" ht="14.4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 spans="1:28" ht="14.4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 spans="1:28" ht="14.4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 spans="1:28" ht="14.4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 spans="1:28" ht="14.4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 spans="1:28" ht="14.4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 spans="1:28" ht="14.4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 spans="1:28" ht="14.4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 spans="1:28" ht="14.4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 spans="1:28" ht="14.4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 spans="1:28" ht="14.4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 spans="1:28" ht="14.4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 spans="1:28" ht="14.4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 spans="1:28" ht="14.4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 spans="1:28" ht="14.4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 spans="1:28" ht="14.4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 spans="1:28" ht="14.4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 spans="1:28" ht="14.4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 spans="1:28" ht="14.4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 spans="1:28" ht="14.4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 spans="1:28" ht="14.4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 spans="1:28" ht="14.4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 spans="1:28" ht="14.4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 spans="1:28" ht="14.4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 spans="1:28" ht="14.4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 spans="1:28" ht="14.4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 spans="1:28" ht="14.4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 spans="1:28" ht="14.4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 spans="1:28" ht="14.4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 spans="1:28" ht="14.4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 spans="1:28" ht="14.4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 spans="1:28" ht="14.4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 spans="1:28" ht="14.4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 spans="1:28" ht="14.4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 spans="1:28" ht="14.4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 spans="1:28" ht="14.4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 spans="1:28" ht="14.4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 spans="1:28" ht="14.4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 spans="1:28" ht="14.4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 spans="1:28" ht="14.4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 spans="1:28" ht="14.4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 spans="1:28" ht="14.4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 spans="1:28" ht="14.4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 spans="1:28" ht="14.4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 spans="1:28" ht="14.4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 spans="1:28" ht="14.4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 spans="1:28" ht="14.4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 spans="1:28" ht="14.4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 spans="1:28" ht="14.4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 spans="1:28" ht="14.4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 spans="1:28" ht="14.4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 spans="1:28" ht="14.4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 spans="1:28" ht="14.4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 spans="1:28" ht="14.4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 spans="1:28" ht="14.4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 spans="1:28" ht="14.4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 spans="1:28" ht="14.4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 spans="1:28" ht="14.4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 spans="1:28" ht="14.4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 spans="1:28" ht="14.4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 spans="1:28" ht="14.4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 spans="1:28" ht="14.4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 spans="1:28" ht="14.4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 spans="1:28" ht="14.4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 spans="1:28" ht="14.4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 spans="1:28" ht="14.4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 spans="1:28" ht="14.4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 spans="1:28" ht="14.4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 spans="1:28" ht="14.4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 spans="1:28" ht="14.4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 spans="1:28" ht="14.4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 spans="1:28" ht="14.4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 spans="1:28" ht="14.4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 spans="1:28" ht="14.4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 spans="1:28" ht="14.4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 spans="1:28" ht="14.4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 spans="1:28" ht="14.4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 spans="1:28" ht="14.4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 spans="1:28" ht="14.4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 spans="1:28" ht="14.4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 spans="1:28" ht="14.4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 spans="1:28" ht="14.4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 spans="1:28" ht="14.4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 spans="1:28" ht="14.4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 spans="1:28" ht="14.4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 spans="1:28" ht="14.4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 spans="1:28" ht="14.4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 spans="1:28" ht="14.4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 spans="1:28" ht="14.4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 spans="1:28" ht="14.4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 spans="1:28" ht="14.4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 spans="1:28" ht="14.4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 spans="1:28" ht="14.4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 spans="1:28" ht="14.4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 spans="1:28" ht="14.4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 spans="1:28" ht="14.4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 spans="1:28" ht="14.4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 spans="1:28" ht="14.4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 spans="1:28" ht="14.4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 spans="1:28" ht="14.4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 spans="1:28" ht="14.4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 spans="1:28" ht="14.4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 spans="1:28" ht="14.4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 spans="1:28" ht="14.4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 spans="1:28" ht="14.4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 spans="1:28" ht="14.4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 spans="1:28" ht="14.4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 spans="1:28" ht="14.4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 spans="1:28" ht="14.4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 spans="1:28" ht="14.4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 spans="1:28" ht="14.4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 spans="1:28" ht="14.4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 spans="1:28" ht="14.4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 spans="1:28" ht="14.4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 spans="1:28" ht="14.4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 spans="1:28" ht="14.4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 spans="1:28" ht="14.4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 spans="1:28" ht="14.4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 spans="1:28" ht="14.4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 spans="1:28" ht="14.4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 spans="1:28" ht="14.4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 spans="1:28" ht="14.4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 spans="1:28" ht="14.4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 spans="1:28" ht="14.4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 spans="1:28" ht="14.4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 spans="1:28" ht="14.4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 spans="1:28" ht="14.4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 spans="1:28" ht="14.4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 spans="1:28" ht="14.4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 spans="1:28" ht="14.4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 spans="1:28" ht="14.4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 spans="1:28" ht="14.4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 spans="1:28" ht="14.4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 spans="1:28" ht="14.4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 spans="1:28" ht="14.4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 spans="1:28" ht="14.4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 spans="1:28" ht="14.4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 spans="1:28" ht="14.4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 spans="1:28" ht="14.4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 spans="1:28" ht="14.4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 spans="1:28" ht="14.4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 spans="1:28" ht="14.4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 spans="1:28" ht="14.4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 spans="1:28" ht="14.4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 spans="1:28" ht="14.4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 spans="1:28" ht="14.4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 spans="1:28" ht="14.4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 spans="1:28" ht="14.4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 spans="1:28" ht="14.4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 spans="1:28" ht="14.4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 spans="1:28" ht="14.4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 spans="1:28" ht="14.4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 spans="1:28" ht="14.4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 spans="1:28" ht="14.4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 spans="1:28" ht="14.4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 spans="1:28" ht="14.4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 spans="1:28" ht="14.4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 spans="1:28" ht="14.4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 spans="1:28" ht="14.4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 spans="1:28" ht="14.4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 spans="1:28" ht="14.4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 spans="1:28" ht="14.4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 spans="1:28" ht="14.4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 spans="1:28" ht="14.4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 spans="1:28" ht="14.4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 spans="1:28" ht="14.4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 spans="1:28" ht="14.4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 spans="1:28" ht="14.4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 spans="1:28" ht="14.4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 spans="1:28" ht="14.4" x14ac:dyDescent="0.2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 spans="1:28" ht="14.4" x14ac:dyDescent="0.2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 spans="1:28" ht="14.4" x14ac:dyDescent="0.2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 spans="1:28" ht="14.4" x14ac:dyDescent="0.2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 spans="1:28" ht="14.4" x14ac:dyDescent="0.2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 spans="1:28" ht="14.4" x14ac:dyDescent="0.2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 spans="1:28" ht="14.4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 spans="1:28" ht="14.4" x14ac:dyDescent="0.2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 spans="1:28" ht="14.4" x14ac:dyDescent="0.2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 spans="1:28" ht="14.4" x14ac:dyDescent="0.2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 spans="1:28" ht="14.4" x14ac:dyDescent="0.2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 spans="1:28" ht="14.4" x14ac:dyDescent="0.2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 spans="1:28" ht="14.4" x14ac:dyDescent="0.2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 spans="1:28" ht="14.4" x14ac:dyDescent="0.2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 spans="1:28" ht="14.4" x14ac:dyDescent="0.2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 spans="1:28" ht="14.4" x14ac:dyDescent="0.2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 spans="1:28" ht="14.4" x14ac:dyDescent="0.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 spans="1:28" ht="14.4" x14ac:dyDescent="0.2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 spans="1:28" ht="14.4" x14ac:dyDescent="0.2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 spans="1:28" ht="14.4" x14ac:dyDescent="0.2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 spans="1:28" ht="14.4" x14ac:dyDescent="0.2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 spans="1:28" ht="14.4" x14ac:dyDescent="0.2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 spans="1:28" ht="14.4" x14ac:dyDescent="0.2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 spans="1:28" ht="14.4" x14ac:dyDescent="0.2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 spans="1:28" ht="14.4" x14ac:dyDescent="0.2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 spans="1:28" ht="14.4" x14ac:dyDescent="0.2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 spans="1:28" ht="14.4" x14ac:dyDescent="0.2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 spans="1:28" ht="14.4" x14ac:dyDescent="0.2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 spans="1:28" ht="14.4" x14ac:dyDescent="0.2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 spans="1:28" ht="14.4" x14ac:dyDescent="0.2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 spans="1:28" ht="14.4" x14ac:dyDescent="0.2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 spans="1:28" ht="14.4" x14ac:dyDescent="0.2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 spans="1:28" ht="14.4" x14ac:dyDescent="0.2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 spans="1:28" ht="14.4" x14ac:dyDescent="0.2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 spans="1:28" ht="14.4" x14ac:dyDescent="0.2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 spans="1:28" ht="14.4" x14ac:dyDescent="0.2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 spans="1:28" ht="14.4" x14ac:dyDescent="0.2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 spans="1:28" ht="14.4" x14ac:dyDescent="0.2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 spans="1:28" ht="14.4" x14ac:dyDescent="0.2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 spans="1:28" ht="14.4" x14ac:dyDescent="0.2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 spans="1:28" ht="14.4" x14ac:dyDescent="0.2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 spans="1:28" ht="14.4" x14ac:dyDescent="0.2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 spans="1:28" ht="14.4" x14ac:dyDescent="0.2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 spans="1:28" ht="14.4" x14ac:dyDescent="0.2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 spans="1:28" ht="14.4" x14ac:dyDescent="0.2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 spans="1:28" ht="14.4" x14ac:dyDescent="0.2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 spans="1:28" ht="14.4" x14ac:dyDescent="0.2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 spans="1:28" ht="14.4" x14ac:dyDescent="0.2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 spans="1:28" ht="14.4" x14ac:dyDescent="0.2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 spans="1:28" ht="14.4" x14ac:dyDescent="0.2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 spans="1:28" ht="14.4" x14ac:dyDescent="0.2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 spans="1:28" ht="14.4" x14ac:dyDescent="0.2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 spans="1:28" ht="14.4" x14ac:dyDescent="0.2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 spans="1:28" ht="14.4" x14ac:dyDescent="0.2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 spans="1:28" ht="14.4" x14ac:dyDescent="0.2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 spans="1:28" ht="14.4" x14ac:dyDescent="0.2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 spans="1:28" ht="14.4" x14ac:dyDescent="0.2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 spans="1:28" ht="14.4" x14ac:dyDescent="0.2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 spans="1:28" ht="14.4" x14ac:dyDescent="0.2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 spans="1:28" ht="14.4" x14ac:dyDescent="0.2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 spans="1:28" ht="14.4" x14ac:dyDescent="0.2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 spans="1:28" ht="14.4" x14ac:dyDescent="0.2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 spans="1:28" ht="14.4" x14ac:dyDescent="0.2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 spans="1:28" ht="14.4" x14ac:dyDescent="0.2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 spans="1:28" ht="14.4" x14ac:dyDescent="0.2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 spans="1:28" ht="14.4" x14ac:dyDescent="0.2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 spans="1:28" ht="14.4" x14ac:dyDescent="0.2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 spans="1:28" ht="14.4" x14ac:dyDescent="0.2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 spans="1:28" ht="14.4" x14ac:dyDescent="0.2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 spans="1:28" ht="14.4" x14ac:dyDescent="0.2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 spans="1:28" ht="14.4" x14ac:dyDescent="0.2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 spans="1:28" ht="14.4" x14ac:dyDescent="0.2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 spans="1:28" ht="14.4" x14ac:dyDescent="0.2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 spans="1:28" ht="14.4" x14ac:dyDescent="0.2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 spans="1:28" ht="14.4" x14ac:dyDescent="0.2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 spans="1:28" ht="14.4" x14ac:dyDescent="0.2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 spans="1:28" ht="14.4" x14ac:dyDescent="0.2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 spans="1:28" ht="14.4" x14ac:dyDescent="0.2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 spans="1:28" ht="14.4" x14ac:dyDescent="0.2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 spans="1:28" ht="14.4" x14ac:dyDescent="0.2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 spans="1:28" ht="14.4" x14ac:dyDescent="0.2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 spans="1:28" ht="14.4" x14ac:dyDescent="0.2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 spans="1:28" ht="14.4" x14ac:dyDescent="0.2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 spans="1:28" ht="14.4" x14ac:dyDescent="0.2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 spans="1:28" ht="14.4" x14ac:dyDescent="0.2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 spans="1:28" ht="14.4" x14ac:dyDescent="0.2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 spans="1:28" ht="14.4" x14ac:dyDescent="0.2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 spans="1:28" ht="14.4" x14ac:dyDescent="0.2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 spans="1:28" ht="14.4" x14ac:dyDescent="0.2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 spans="1:28" ht="14.4" x14ac:dyDescent="0.2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 spans="1:28" ht="14.4" x14ac:dyDescent="0.2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 spans="1:28" ht="14.4" x14ac:dyDescent="0.2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 spans="1:28" ht="14.4" x14ac:dyDescent="0.2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 spans="1:28" ht="14.4" x14ac:dyDescent="0.2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 spans="1:28" ht="14.4" x14ac:dyDescent="0.2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 spans="1:28" ht="14.4" x14ac:dyDescent="0.2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 spans="1:28" ht="14.4" x14ac:dyDescent="0.2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 spans="1:28" ht="14.4" x14ac:dyDescent="0.2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 spans="1:28" ht="14.4" x14ac:dyDescent="0.2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 spans="1:28" ht="14.4" x14ac:dyDescent="0.2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 spans="1:28" ht="14.4" x14ac:dyDescent="0.2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 spans="1:28" ht="14.4" x14ac:dyDescent="0.2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 spans="1:28" ht="14.4" x14ac:dyDescent="0.2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 spans="1:28" ht="14.4" x14ac:dyDescent="0.2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 spans="1:28" ht="14.4" x14ac:dyDescent="0.2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 spans="1:28" ht="14.4" x14ac:dyDescent="0.2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 spans="1:28" ht="14.4" x14ac:dyDescent="0.2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 spans="1:28" ht="14.4" x14ac:dyDescent="0.2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 spans="1:28" ht="14.4" x14ac:dyDescent="0.2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 spans="1:28" ht="14.4" x14ac:dyDescent="0.2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 spans="1:28" ht="14.4" x14ac:dyDescent="0.2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 spans="1:28" ht="14.4" x14ac:dyDescent="0.2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 spans="1:28" ht="14.4" x14ac:dyDescent="0.2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 spans="1:28" ht="14.4" x14ac:dyDescent="0.2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 spans="1:28" ht="14.4" x14ac:dyDescent="0.2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 spans="1:28" ht="14.4" x14ac:dyDescent="0.2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 spans="1:28" ht="14.4" x14ac:dyDescent="0.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 spans="1:28" ht="14.4" x14ac:dyDescent="0.2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 spans="1:28" ht="14.4" x14ac:dyDescent="0.2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 spans="1:28" ht="14.4" x14ac:dyDescent="0.2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 spans="1:28" ht="14.4" x14ac:dyDescent="0.2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 spans="1:28" ht="14.4" x14ac:dyDescent="0.2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 spans="1:28" ht="14.4" x14ac:dyDescent="0.2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 spans="1:28" ht="14.4" x14ac:dyDescent="0.2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 spans="1:28" ht="14.4" x14ac:dyDescent="0.2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 spans="1:28" ht="14.4" x14ac:dyDescent="0.2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 spans="1:28" ht="14.4" x14ac:dyDescent="0.2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 spans="1:28" ht="14.4" x14ac:dyDescent="0.2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 spans="1:28" ht="14.4" x14ac:dyDescent="0.2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 spans="1:28" ht="14.4" x14ac:dyDescent="0.2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 spans="1:28" ht="14.4" x14ac:dyDescent="0.2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 spans="1:28" ht="14.4" x14ac:dyDescent="0.2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 spans="1:28" ht="14.4" x14ac:dyDescent="0.2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 spans="1:28" ht="14.4" x14ac:dyDescent="0.2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 spans="1:28" ht="14.4" x14ac:dyDescent="0.2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 spans="1:28" ht="14.4" x14ac:dyDescent="0.2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 spans="1:28" ht="14.4" x14ac:dyDescent="0.2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 spans="1:28" ht="14.4" x14ac:dyDescent="0.2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 spans="1:28" ht="14.4" x14ac:dyDescent="0.2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 spans="1:28" ht="14.4" x14ac:dyDescent="0.2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 spans="1:28" ht="14.4" x14ac:dyDescent="0.2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 spans="1:28" ht="14.4" x14ac:dyDescent="0.2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 spans="1:28" ht="14.4" x14ac:dyDescent="0.2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 spans="1:28" ht="14.4" x14ac:dyDescent="0.2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 spans="1:28" ht="14.4" x14ac:dyDescent="0.2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 spans="1:28" ht="14.4" x14ac:dyDescent="0.2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 spans="1:28" ht="14.4" x14ac:dyDescent="0.2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 spans="1:28" ht="14.4" x14ac:dyDescent="0.2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 spans="1:28" ht="14.4" x14ac:dyDescent="0.2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 spans="1:28" ht="14.4" x14ac:dyDescent="0.2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 spans="1:28" ht="14.4" x14ac:dyDescent="0.2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 spans="1:28" ht="14.4" x14ac:dyDescent="0.2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 spans="1:28" ht="14.4" x14ac:dyDescent="0.2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 spans="1:28" ht="14.4" x14ac:dyDescent="0.2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 spans="1:28" ht="14.4" x14ac:dyDescent="0.2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 spans="1:28" ht="14.4" x14ac:dyDescent="0.2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 spans="1:28" ht="14.4" x14ac:dyDescent="0.2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 spans="1:28" ht="14.4" x14ac:dyDescent="0.2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 spans="1:28" ht="14.4" x14ac:dyDescent="0.2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 spans="1:28" ht="14.4" x14ac:dyDescent="0.2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 spans="1:28" ht="14.4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 spans="1:28" ht="14.4" x14ac:dyDescent="0.2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 spans="1:28" ht="14.4" x14ac:dyDescent="0.2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 spans="1:28" ht="14.4" x14ac:dyDescent="0.2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 spans="1:28" ht="14.4" x14ac:dyDescent="0.2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 spans="1:28" ht="14.4" x14ac:dyDescent="0.2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 spans="1:28" ht="14.4" x14ac:dyDescent="0.2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 spans="1:28" ht="14.4" x14ac:dyDescent="0.2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 spans="1:28" ht="14.4" x14ac:dyDescent="0.2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 spans="1:28" ht="14.4" x14ac:dyDescent="0.2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 spans="1:28" ht="14.4" x14ac:dyDescent="0.2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 spans="1:28" ht="14.4" x14ac:dyDescent="0.2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 spans="1:28" ht="14.4" x14ac:dyDescent="0.2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 spans="1:28" ht="14.4" x14ac:dyDescent="0.2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 spans="1:28" ht="14.4" x14ac:dyDescent="0.2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 spans="1:28" ht="14.4" x14ac:dyDescent="0.2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 spans="1:28" ht="14.4" x14ac:dyDescent="0.2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 spans="1:28" ht="14.4" x14ac:dyDescent="0.2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 spans="1:28" ht="14.4" x14ac:dyDescent="0.2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 spans="1:28" ht="14.4" x14ac:dyDescent="0.2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 spans="1:28" ht="14.4" x14ac:dyDescent="0.2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 spans="1:28" ht="14.4" x14ac:dyDescent="0.2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 spans="1:28" ht="14.4" x14ac:dyDescent="0.2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 spans="1:28" ht="14.4" x14ac:dyDescent="0.2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 spans="1:28" ht="14.4" x14ac:dyDescent="0.2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 spans="1:28" ht="14.4" x14ac:dyDescent="0.2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 spans="1:28" ht="14.4" x14ac:dyDescent="0.2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 spans="1:28" ht="14.4" x14ac:dyDescent="0.2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 spans="1:28" ht="14.4" x14ac:dyDescent="0.2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 spans="1:28" ht="14.4" x14ac:dyDescent="0.2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 spans="1:28" ht="14.4" x14ac:dyDescent="0.2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 spans="1:28" ht="14.4" x14ac:dyDescent="0.2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 spans="1:28" ht="14.4" x14ac:dyDescent="0.2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 spans="1:28" ht="14.4" x14ac:dyDescent="0.2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 spans="1:28" ht="14.4" x14ac:dyDescent="0.2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 spans="1:28" ht="14.4" x14ac:dyDescent="0.2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 spans="1:28" ht="14.4" x14ac:dyDescent="0.2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 spans="1:28" ht="14.4" x14ac:dyDescent="0.2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 spans="1:28" ht="14.4" x14ac:dyDescent="0.2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 spans="1:28" ht="14.4" x14ac:dyDescent="0.2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 spans="1:28" ht="14.4" x14ac:dyDescent="0.2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 spans="1:28" ht="14.4" x14ac:dyDescent="0.2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 spans="1:28" ht="14.4" x14ac:dyDescent="0.2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 spans="1:28" ht="14.4" x14ac:dyDescent="0.2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 spans="1:28" ht="14.4" x14ac:dyDescent="0.2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 spans="1:28" ht="14.4" x14ac:dyDescent="0.2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 spans="1:28" ht="14.4" x14ac:dyDescent="0.2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 spans="1:28" ht="14.4" x14ac:dyDescent="0.2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 spans="1:28" ht="14.4" x14ac:dyDescent="0.2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 spans="1:28" ht="14.4" x14ac:dyDescent="0.2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 spans="1:28" ht="14.4" x14ac:dyDescent="0.2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 spans="1:28" ht="14.4" x14ac:dyDescent="0.2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 spans="1:28" ht="14.4" x14ac:dyDescent="0.2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 spans="1:28" ht="14.4" x14ac:dyDescent="0.2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 spans="1:28" ht="14.4" x14ac:dyDescent="0.2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 spans="1:28" ht="14.4" x14ac:dyDescent="0.2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 spans="1:28" ht="14.4" x14ac:dyDescent="0.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 spans="1:28" ht="14.4" x14ac:dyDescent="0.2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 spans="1:28" ht="14.4" x14ac:dyDescent="0.2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 spans="1:28" ht="14.4" x14ac:dyDescent="0.2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 spans="1:28" ht="14.4" x14ac:dyDescent="0.2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 spans="1:28" ht="14.4" x14ac:dyDescent="0.2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 spans="1:28" ht="14.4" x14ac:dyDescent="0.2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 spans="1:28" ht="14.4" x14ac:dyDescent="0.2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 spans="1:28" ht="14.4" x14ac:dyDescent="0.2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 spans="1:28" ht="14.4" x14ac:dyDescent="0.2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 spans="1:28" ht="14.4" x14ac:dyDescent="0.2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 spans="1:28" ht="14.4" x14ac:dyDescent="0.2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 spans="1:28" ht="14.4" x14ac:dyDescent="0.2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 spans="1:28" ht="14.4" x14ac:dyDescent="0.2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 spans="1:28" ht="14.4" x14ac:dyDescent="0.2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 spans="1:28" ht="14.4" x14ac:dyDescent="0.2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 spans="1:28" ht="14.4" x14ac:dyDescent="0.2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 spans="1:28" ht="14.4" x14ac:dyDescent="0.2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 spans="1:28" ht="14.4" x14ac:dyDescent="0.2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 spans="1:28" ht="14.4" x14ac:dyDescent="0.2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 spans="1:28" ht="14.4" x14ac:dyDescent="0.2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 spans="1:28" ht="14.4" x14ac:dyDescent="0.2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 spans="1:28" ht="14.4" x14ac:dyDescent="0.2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 spans="1:28" ht="14.4" x14ac:dyDescent="0.2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 spans="1:28" ht="14.4" x14ac:dyDescent="0.2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 spans="1:28" ht="14.4" x14ac:dyDescent="0.2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 spans="1:28" ht="14.4" x14ac:dyDescent="0.2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 spans="1:28" ht="14.4" x14ac:dyDescent="0.2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 spans="1:28" ht="14.4" x14ac:dyDescent="0.2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 spans="1:28" ht="14.4" x14ac:dyDescent="0.2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 spans="1:28" ht="14.4" x14ac:dyDescent="0.2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 spans="1:28" ht="14.4" x14ac:dyDescent="0.2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 spans="1:28" ht="14.4" x14ac:dyDescent="0.2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 spans="1:28" ht="14.4" x14ac:dyDescent="0.2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</row>
    <row r="759" spans="1:28" ht="14.4" x14ac:dyDescent="0.2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</row>
    <row r="760" spans="1:28" ht="14.4" x14ac:dyDescent="0.2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</row>
    <row r="761" spans="1:28" ht="14.4" x14ac:dyDescent="0.2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</row>
    <row r="762" spans="1:28" ht="14.4" x14ac:dyDescent="0.2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</row>
    <row r="763" spans="1:28" ht="14.4" x14ac:dyDescent="0.2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</row>
    <row r="764" spans="1:28" ht="14.4" x14ac:dyDescent="0.2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</row>
    <row r="765" spans="1:28" ht="14.4" x14ac:dyDescent="0.2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</row>
    <row r="766" spans="1:28" ht="14.4" x14ac:dyDescent="0.2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</row>
    <row r="767" spans="1:28" ht="14.4" x14ac:dyDescent="0.2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</row>
    <row r="768" spans="1:28" ht="14.4" x14ac:dyDescent="0.2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</row>
    <row r="769" spans="1:28" ht="14.4" x14ac:dyDescent="0.2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</row>
    <row r="770" spans="1:28" ht="14.4" x14ac:dyDescent="0.2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</row>
    <row r="771" spans="1:28" ht="14.4" x14ac:dyDescent="0.2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</row>
    <row r="772" spans="1:28" ht="14.4" x14ac:dyDescent="0.2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 spans="1:28" ht="14.4" x14ac:dyDescent="0.2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</row>
    <row r="774" spans="1:28" ht="14.4" x14ac:dyDescent="0.2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</row>
    <row r="775" spans="1:28" ht="14.4" x14ac:dyDescent="0.2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</row>
    <row r="776" spans="1:28" ht="14.4" x14ac:dyDescent="0.2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</row>
    <row r="777" spans="1:28" ht="14.4" x14ac:dyDescent="0.2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</row>
    <row r="778" spans="1:28" ht="14.4" x14ac:dyDescent="0.2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</row>
    <row r="779" spans="1:28" ht="14.4" x14ac:dyDescent="0.2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</row>
    <row r="780" spans="1:28" ht="14.4" x14ac:dyDescent="0.2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</row>
    <row r="781" spans="1:28" ht="14.4" x14ac:dyDescent="0.2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</row>
    <row r="782" spans="1:28" ht="14.4" x14ac:dyDescent="0.2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</row>
    <row r="783" spans="1:28" ht="14.4" x14ac:dyDescent="0.2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</row>
    <row r="784" spans="1:28" ht="14.4" x14ac:dyDescent="0.2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</row>
    <row r="785" spans="1:28" ht="14.4" x14ac:dyDescent="0.2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</row>
    <row r="786" spans="1:28" ht="14.4" x14ac:dyDescent="0.2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</row>
    <row r="787" spans="1:28" ht="14.4" x14ac:dyDescent="0.2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</row>
    <row r="788" spans="1:28" ht="14.4" x14ac:dyDescent="0.2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</row>
    <row r="789" spans="1:28" ht="14.4" x14ac:dyDescent="0.2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</row>
    <row r="790" spans="1:28" ht="14.4" x14ac:dyDescent="0.2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</row>
    <row r="791" spans="1:28" ht="14.4" x14ac:dyDescent="0.2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</row>
    <row r="792" spans="1:28" ht="14.4" x14ac:dyDescent="0.2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</row>
    <row r="793" spans="1:28" ht="14.4" x14ac:dyDescent="0.2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</row>
    <row r="794" spans="1:28" ht="14.4" x14ac:dyDescent="0.2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</row>
    <row r="795" spans="1:28" ht="14.4" x14ac:dyDescent="0.2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</row>
    <row r="796" spans="1:28" ht="14.4" x14ac:dyDescent="0.2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</row>
    <row r="797" spans="1:28" ht="14.4" x14ac:dyDescent="0.2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</row>
    <row r="798" spans="1:28" ht="14.4" x14ac:dyDescent="0.2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</row>
    <row r="799" spans="1:28" ht="14.4" x14ac:dyDescent="0.2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</row>
    <row r="800" spans="1:28" ht="14.4" x14ac:dyDescent="0.2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</row>
    <row r="801" spans="1:28" ht="14.4" x14ac:dyDescent="0.2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</row>
    <row r="802" spans="1:28" ht="14.4" x14ac:dyDescent="0.2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</row>
    <row r="803" spans="1:28" ht="14.4" x14ac:dyDescent="0.2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</row>
    <row r="804" spans="1:28" ht="14.4" x14ac:dyDescent="0.2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</row>
    <row r="805" spans="1:28" ht="14.4" x14ac:dyDescent="0.2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</row>
    <row r="806" spans="1:28" ht="14.4" x14ac:dyDescent="0.2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</row>
    <row r="807" spans="1:28" ht="14.4" x14ac:dyDescent="0.2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</row>
    <row r="808" spans="1:28" ht="14.4" x14ac:dyDescent="0.2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</row>
    <row r="809" spans="1:28" ht="14.4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</row>
    <row r="810" spans="1:28" ht="14.4" x14ac:dyDescent="0.2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</row>
    <row r="811" spans="1:28" ht="14.4" x14ac:dyDescent="0.2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</row>
    <row r="812" spans="1:28" ht="14.4" x14ac:dyDescent="0.2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</row>
    <row r="813" spans="1:28" ht="14.4" x14ac:dyDescent="0.2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</row>
    <row r="814" spans="1:28" ht="14.4" x14ac:dyDescent="0.2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</row>
    <row r="815" spans="1:28" ht="14.4" x14ac:dyDescent="0.2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</row>
    <row r="816" spans="1:28" ht="14.4" x14ac:dyDescent="0.2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</row>
    <row r="817" spans="1:28" ht="14.4" x14ac:dyDescent="0.2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</row>
    <row r="818" spans="1:28" ht="14.4" x14ac:dyDescent="0.2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</row>
    <row r="819" spans="1:28" ht="14.4" x14ac:dyDescent="0.2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</row>
    <row r="820" spans="1:28" ht="14.4" x14ac:dyDescent="0.2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</row>
    <row r="821" spans="1:28" ht="14.4" x14ac:dyDescent="0.2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</row>
    <row r="822" spans="1:28" ht="14.4" x14ac:dyDescent="0.2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</row>
    <row r="823" spans="1:28" ht="14.4" x14ac:dyDescent="0.2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</row>
    <row r="824" spans="1:28" ht="14.4" x14ac:dyDescent="0.2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</row>
    <row r="825" spans="1:28" ht="14.4" x14ac:dyDescent="0.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</row>
    <row r="826" spans="1:28" ht="14.4" x14ac:dyDescent="0.2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</row>
    <row r="827" spans="1:28" ht="14.4" x14ac:dyDescent="0.2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</row>
    <row r="828" spans="1:28" ht="14.4" x14ac:dyDescent="0.2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</row>
    <row r="829" spans="1:28" ht="14.4" x14ac:dyDescent="0.2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</row>
    <row r="830" spans="1:28" ht="14.4" x14ac:dyDescent="0.2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</row>
    <row r="831" spans="1:28" ht="14.4" x14ac:dyDescent="0.2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</row>
    <row r="832" spans="1:28" ht="14.4" x14ac:dyDescent="0.2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</row>
    <row r="833" spans="1:28" ht="14.4" x14ac:dyDescent="0.2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</row>
    <row r="834" spans="1:28" ht="14.4" x14ac:dyDescent="0.2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</row>
    <row r="835" spans="1:28" ht="14.4" x14ac:dyDescent="0.2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</row>
    <row r="836" spans="1:28" ht="14.4" x14ac:dyDescent="0.2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</row>
    <row r="837" spans="1:28" ht="14.4" x14ac:dyDescent="0.2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</row>
    <row r="838" spans="1:28" ht="14.4" x14ac:dyDescent="0.2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</row>
    <row r="839" spans="1:28" ht="14.4" x14ac:dyDescent="0.2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</row>
    <row r="840" spans="1:28" ht="14.4" x14ac:dyDescent="0.2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</row>
    <row r="841" spans="1:28" ht="14.4" x14ac:dyDescent="0.2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</row>
    <row r="842" spans="1:28" ht="14.4" x14ac:dyDescent="0.2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</row>
    <row r="843" spans="1:28" ht="14.4" x14ac:dyDescent="0.2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</row>
    <row r="844" spans="1:28" ht="14.4" x14ac:dyDescent="0.2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</row>
    <row r="845" spans="1:28" ht="14.4" x14ac:dyDescent="0.2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</row>
    <row r="846" spans="1:28" ht="14.4" x14ac:dyDescent="0.2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</row>
    <row r="847" spans="1:28" ht="14.4" x14ac:dyDescent="0.2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</row>
    <row r="848" spans="1:28" ht="14.4" x14ac:dyDescent="0.2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</row>
    <row r="849" spans="1:28" ht="14.4" x14ac:dyDescent="0.2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</row>
    <row r="850" spans="1:28" ht="14.4" x14ac:dyDescent="0.2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</row>
    <row r="851" spans="1:28" ht="14.4" x14ac:dyDescent="0.2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</row>
    <row r="852" spans="1:28" ht="14.4" x14ac:dyDescent="0.2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</row>
    <row r="853" spans="1:28" ht="14.4" x14ac:dyDescent="0.2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</row>
    <row r="854" spans="1:28" ht="14.4" x14ac:dyDescent="0.2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</row>
    <row r="855" spans="1:28" ht="14.4" x14ac:dyDescent="0.2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</row>
    <row r="856" spans="1:28" ht="14.4" x14ac:dyDescent="0.2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</row>
    <row r="857" spans="1:28" ht="14.4" x14ac:dyDescent="0.2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</row>
    <row r="858" spans="1:28" ht="14.4" x14ac:dyDescent="0.2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</row>
    <row r="859" spans="1:28" ht="14.4" x14ac:dyDescent="0.2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</row>
    <row r="860" spans="1:28" ht="14.4" x14ac:dyDescent="0.2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</row>
    <row r="861" spans="1:28" ht="14.4" x14ac:dyDescent="0.2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</row>
    <row r="862" spans="1:28" ht="14.4" x14ac:dyDescent="0.2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</row>
    <row r="863" spans="1:28" ht="14.4" x14ac:dyDescent="0.2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</row>
    <row r="864" spans="1:28" ht="14.4" x14ac:dyDescent="0.2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</row>
    <row r="865" spans="1:28" ht="14.4" x14ac:dyDescent="0.2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</row>
    <row r="866" spans="1:28" ht="14.4" x14ac:dyDescent="0.2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</row>
    <row r="867" spans="1:28" ht="14.4" x14ac:dyDescent="0.2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</row>
    <row r="868" spans="1:28" ht="14.4" x14ac:dyDescent="0.2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</row>
    <row r="869" spans="1:28" ht="14.4" x14ac:dyDescent="0.2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</row>
    <row r="870" spans="1:28" ht="14.4" x14ac:dyDescent="0.2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</row>
    <row r="871" spans="1:28" ht="14.4" x14ac:dyDescent="0.2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</row>
    <row r="872" spans="1:28" ht="14.4" x14ac:dyDescent="0.2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</row>
    <row r="873" spans="1:28" ht="14.4" x14ac:dyDescent="0.2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</row>
    <row r="874" spans="1:28" ht="14.4" x14ac:dyDescent="0.2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</row>
    <row r="875" spans="1:28" ht="14.4" x14ac:dyDescent="0.2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</row>
    <row r="876" spans="1:28" ht="14.4" x14ac:dyDescent="0.2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</row>
    <row r="877" spans="1:28" ht="14.4" x14ac:dyDescent="0.2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</row>
    <row r="878" spans="1:28" ht="14.4" x14ac:dyDescent="0.2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</row>
    <row r="879" spans="1:28" ht="14.4" x14ac:dyDescent="0.2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</row>
    <row r="880" spans="1:28" ht="14.4" x14ac:dyDescent="0.2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</row>
    <row r="881" spans="1:28" ht="14.4" x14ac:dyDescent="0.2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</row>
    <row r="882" spans="1:28" ht="14.4" x14ac:dyDescent="0.2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</row>
    <row r="883" spans="1:28" ht="14.4" x14ac:dyDescent="0.2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</row>
    <row r="884" spans="1:28" ht="14.4" x14ac:dyDescent="0.2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</row>
    <row r="885" spans="1:28" ht="14.4" x14ac:dyDescent="0.2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</row>
    <row r="886" spans="1:28" ht="14.4" x14ac:dyDescent="0.2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</row>
    <row r="887" spans="1:28" ht="14.4" x14ac:dyDescent="0.2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</row>
    <row r="888" spans="1:28" ht="14.4" x14ac:dyDescent="0.2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</row>
    <row r="889" spans="1:28" ht="14.4" x14ac:dyDescent="0.2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</row>
    <row r="890" spans="1:28" ht="14.4" x14ac:dyDescent="0.2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</row>
    <row r="891" spans="1:28" ht="14.4" x14ac:dyDescent="0.2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</row>
    <row r="892" spans="1:28" ht="14.4" x14ac:dyDescent="0.2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</row>
    <row r="893" spans="1:28" ht="14.4" x14ac:dyDescent="0.2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</row>
    <row r="894" spans="1:28" ht="14.4" x14ac:dyDescent="0.2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</row>
    <row r="895" spans="1:28" ht="14.4" x14ac:dyDescent="0.2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</row>
    <row r="896" spans="1:28" ht="14.4" x14ac:dyDescent="0.2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</row>
    <row r="897" spans="1:28" ht="14.4" x14ac:dyDescent="0.2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</row>
    <row r="898" spans="1:28" ht="14.4" x14ac:dyDescent="0.2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</row>
    <row r="899" spans="1:28" ht="14.4" x14ac:dyDescent="0.2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</row>
    <row r="900" spans="1:28" ht="14.4" x14ac:dyDescent="0.2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</row>
    <row r="901" spans="1:28" ht="14.4" x14ac:dyDescent="0.2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</row>
    <row r="902" spans="1:28" ht="14.4" x14ac:dyDescent="0.2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</row>
    <row r="903" spans="1:28" ht="14.4" x14ac:dyDescent="0.2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</row>
    <row r="904" spans="1:28" ht="14.4" x14ac:dyDescent="0.2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</row>
    <row r="905" spans="1:28" ht="14.4" x14ac:dyDescent="0.2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</row>
    <row r="906" spans="1:28" ht="14.4" x14ac:dyDescent="0.2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</row>
    <row r="907" spans="1:28" ht="14.4" x14ac:dyDescent="0.2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</row>
    <row r="908" spans="1:28" ht="14.4" x14ac:dyDescent="0.2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</row>
    <row r="909" spans="1:28" ht="14.4" x14ac:dyDescent="0.2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</row>
    <row r="910" spans="1:28" ht="14.4" x14ac:dyDescent="0.2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</row>
    <row r="911" spans="1:28" ht="14.4" x14ac:dyDescent="0.2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</row>
    <row r="912" spans="1:28" ht="14.4" x14ac:dyDescent="0.2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</row>
    <row r="913" spans="1:28" ht="14.4" x14ac:dyDescent="0.2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</row>
    <row r="914" spans="1:28" ht="14.4" x14ac:dyDescent="0.2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</row>
    <row r="915" spans="1:28" ht="14.4" x14ac:dyDescent="0.2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</row>
    <row r="916" spans="1:28" ht="14.4" x14ac:dyDescent="0.2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</row>
    <row r="917" spans="1:28" ht="14.4" x14ac:dyDescent="0.2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</row>
    <row r="918" spans="1:28" ht="14.4" x14ac:dyDescent="0.2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</row>
    <row r="919" spans="1:28" ht="14.4" x14ac:dyDescent="0.2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</row>
    <row r="920" spans="1:28" ht="14.4" x14ac:dyDescent="0.2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</row>
    <row r="921" spans="1:28" ht="14.4" x14ac:dyDescent="0.2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</row>
    <row r="922" spans="1:28" ht="14.4" x14ac:dyDescent="0.2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</row>
    <row r="923" spans="1:28" ht="14.4" x14ac:dyDescent="0.2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</row>
    <row r="924" spans="1:28" ht="14.4" x14ac:dyDescent="0.2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</row>
    <row r="925" spans="1:28" ht="14.4" x14ac:dyDescent="0.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</row>
    <row r="926" spans="1:28" ht="14.4" x14ac:dyDescent="0.2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</row>
    <row r="927" spans="1:28" ht="14.4" x14ac:dyDescent="0.2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</row>
    <row r="928" spans="1:28" ht="14.4" x14ac:dyDescent="0.2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</row>
    <row r="929" spans="1:28" ht="14.4" x14ac:dyDescent="0.2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</row>
    <row r="930" spans="1:28" ht="14.4" x14ac:dyDescent="0.2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</row>
    <row r="931" spans="1:28" ht="14.4" x14ac:dyDescent="0.2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</row>
    <row r="932" spans="1:28" ht="14.4" x14ac:dyDescent="0.2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</row>
    <row r="933" spans="1:28" ht="14.4" x14ac:dyDescent="0.2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</row>
    <row r="934" spans="1:28" ht="14.4" x14ac:dyDescent="0.2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</row>
    <row r="935" spans="1:28" ht="14.4" x14ac:dyDescent="0.2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</row>
    <row r="936" spans="1:28" ht="14.4" x14ac:dyDescent="0.2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</row>
    <row r="937" spans="1:28" ht="14.4" x14ac:dyDescent="0.2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</row>
    <row r="938" spans="1:28" ht="14.4" x14ac:dyDescent="0.2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</row>
    <row r="939" spans="1:28" ht="14.4" x14ac:dyDescent="0.2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</row>
    <row r="940" spans="1:28" ht="14.4" x14ac:dyDescent="0.2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</row>
    <row r="941" spans="1:28" ht="14.4" x14ac:dyDescent="0.2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</row>
    <row r="942" spans="1:28" ht="14.4" x14ac:dyDescent="0.2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</row>
    <row r="943" spans="1:28" ht="14.4" x14ac:dyDescent="0.2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</row>
    <row r="944" spans="1:28" ht="14.4" x14ac:dyDescent="0.2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</row>
    <row r="945" spans="1:28" ht="14.4" x14ac:dyDescent="0.2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</row>
    <row r="946" spans="1:28" ht="14.4" x14ac:dyDescent="0.2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</row>
    <row r="947" spans="1:28" ht="14.4" x14ac:dyDescent="0.2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</row>
    <row r="948" spans="1:28" ht="14.4" x14ac:dyDescent="0.2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</row>
    <row r="949" spans="1:28" ht="14.4" x14ac:dyDescent="0.2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</row>
    <row r="950" spans="1:28" ht="14.4" x14ac:dyDescent="0.2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</row>
    <row r="951" spans="1:28" ht="14.4" x14ac:dyDescent="0.2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</row>
    <row r="952" spans="1:28" ht="14.4" x14ac:dyDescent="0.2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</row>
    <row r="953" spans="1:28" ht="14.4" x14ac:dyDescent="0.2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</row>
    <row r="954" spans="1:28" ht="14.4" x14ac:dyDescent="0.2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</row>
    <row r="955" spans="1:28" ht="14.4" x14ac:dyDescent="0.2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</row>
    <row r="956" spans="1:28" ht="14.4" x14ac:dyDescent="0.2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</row>
    <row r="957" spans="1:28" ht="14.4" x14ac:dyDescent="0.2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</row>
    <row r="958" spans="1:28" ht="14.4" x14ac:dyDescent="0.2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</row>
    <row r="959" spans="1:28" ht="14.4" x14ac:dyDescent="0.2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</row>
    <row r="960" spans="1:28" ht="14.4" x14ac:dyDescent="0.2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</row>
    <row r="961" spans="1:28" ht="14.4" x14ac:dyDescent="0.2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</row>
    <row r="962" spans="1:28" ht="14.4" x14ac:dyDescent="0.2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</row>
    <row r="963" spans="1:28" ht="14.4" x14ac:dyDescent="0.2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</row>
    <row r="964" spans="1:28" ht="14.4" x14ac:dyDescent="0.2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</row>
    <row r="965" spans="1:28" ht="14.4" x14ac:dyDescent="0.2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</row>
    <row r="966" spans="1:28" ht="14.4" x14ac:dyDescent="0.2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</row>
    <row r="967" spans="1:28" ht="14.4" x14ac:dyDescent="0.2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</row>
    <row r="968" spans="1:28" ht="14.4" x14ac:dyDescent="0.2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</row>
    <row r="969" spans="1:28" ht="14.4" x14ac:dyDescent="0.2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</row>
    <row r="970" spans="1:28" ht="14.4" x14ac:dyDescent="0.2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</row>
    <row r="971" spans="1:28" ht="14.4" x14ac:dyDescent="0.2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</row>
    <row r="972" spans="1:28" ht="14.4" x14ac:dyDescent="0.2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</row>
    <row r="973" spans="1:28" ht="14.4" x14ac:dyDescent="0.2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</row>
    <row r="974" spans="1:28" ht="14.4" x14ac:dyDescent="0.2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</row>
    <row r="975" spans="1:28" ht="14.4" x14ac:dyDescent="0.2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</row>
    <row r="976" spans="1:28" ht="14.4" x14ac:dyDescent="0.2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</row>
    <row r="977" spans="1:28" ht="14.4" x14ac:dyDescent="0.2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</row>
    <row r="978" spans="1:28" ht="14.4" x14ac:dyDescent="0.2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</row>
    <row r="979" spans="1:28" ht="14.4" x14ac:dyDescent="0.2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</row>
    <row r="980" spans="1:28" ht="14.4" x14ac:dyDescent="0.2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</row>
    <row r="981" spans="1:28" ht="14.4" x14ac:dyDescent="0.2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</row>
    <row r="982" spans="1:28" ht="14.4" x14ac:dyDescent="0.2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</row>
    <row r="983" spans="1:28" ht="14.4" x14ac:dyDescent="0.2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</row>
    <row r="984" spans="1:28" ht="14.4" x14ac:dyDescent="0.2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</row>
    <row r="985" spans="1:28" ht="14.4" x14ac:dyDescent="0.2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</row>
    <row r="986" spans="1:28" ht="14.4" x14ac:dyDescent="0.2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</row>
    <row r="987" spans="1:28" ht="14.4" x14ac:dyDescent="0.2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</row>
    <row r="988" spans="1:28" ht="14.4" x14ac:dyDescent="0.2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</row>
    <row r="989" spans="1:28" ht="14.4" x14ac:dyDescent="0.2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</row>
    <row r="990" spans="1:28" ht="14.4" x14ac:dyDescent="0.2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</row>
    <row r="991" spans="1:28" ht="14.4" x14ac:dyDescent="0.2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</row>
    <row r="992" spans="1:28" ht="14.4" x14ac:dyDescent="0.2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</row>
    <row r="993" spans="1:28" ht="14.4" x14ac:dyDescent="0.2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</row>
    <row r="994" spans="1:28" ht="14.4" x14ac:dyDescent="0.2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</row>
    <row r="995" spans="1:28" ht="14.4" x14ac:dyDescent="0.2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</row>
    <row r="996" spans="1:28" ht="14.4" x14ac:dyDescent="0.2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</row>
    <row r="997" spans="1:28" ht="14.4" x14ac:dyDescent="0.2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</row>
    <row r="998" spans="1:28" ht="14.4" x14ac:dyDescent="0.2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</row>
    <row r="999" spans="1:28" ht="14.4" x14ac:dyDescent="0.2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</row>
    <row r="1000" spans="1:28" ht="14.4" x14ac:dyDescent="0.2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</row>
    <row r="1001" spans="1:28" ht="14.4" x14ac:dyDescent="0.2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</row>
    <row r="1002" spans="1:28" ht="14.4" x14ac:dyDescent="0.2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</row>
    <row r="1003" spans="1:28" ht="14.4" x14ac:dyDescent="0.2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</row>
    <row r="1004" spans="1:28" ht="14.4" x14ac:dyDescent="0.2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</row>
    <row r="1005" spans="1:28" ht="14.4" x14ac:dyDescent="0.2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</row>
    <row r="1006" spans="1:28" ht="14.4" x14ac:dyDescent="0.2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</row>
    <row r="1007" spans="1:28" ht="14.4" x14ac:dyDescent="0.2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</row>
    <row r="1008" spans="1:28" ht="14.4" x14ac:dyDescent="0.2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</row>
    <row r="1009" spans="1:28" ht="14.4" x14ac:dyDescent="0.2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</row>
    <row r="1010" spans="1:28" ht="14.4" x14ac:dyDescent="0.2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</row>
    <row r="1011" spans="1:28" ht="14.4" x14ac:dyDescent="0.2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</row>
    <row r="1012" spans="1:28" ht="14.4" x14ac:dyDescent="0.2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</row>
    <row r="1013" spans="1:28" ht="14.4" x14ac:dyDescent="0.25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</row>
    <row r="1014" spans="1:28" ht="14.4" x14ac:dyDescent="0.25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</row>
    <row r="1015" spans="1:28" ht="14.4" x14ac:dyDescent="0.2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</row>
    <row r="1016" spans="1:28" ht="14.4" x14ac:dyDescent="0.25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</row>
    <row r="1017" spans="1:28" ht="14.4" x14ac:dyDescent="0.25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</row>
    <row r="1018" spans="1:28" ht="14.4" x14ac:dyDescent="0.25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</row>
    <row r="1019" spans="1:28" ht="14.4" x14ac:dyDescent="0.25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</row>
    <row r="1020" spans="1:28" ht="14.4" x14ac:dyDescent="0.25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</row>
    <row r="1021" spans="1:28" ht="14.4" x14ac:dyDescent="0.25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</row>
    <row r="1022" spans="1:28" ht="14.4" x14ac:dyDescent="0.25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</row>
    <row r="1023" spans="1:28" ht="14.4" x14ac:dyDescent="0.25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</row>
    <row r="1024" spans="1:28" ht="14.4" x14ac:dyDescent="0.25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</row>
    <row r="1025" spans="1:28" ht="14.4" x14ac:dyDescent="0.2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</row>
    <row r="1026" spans="1:28" ht="14.4" x14ac:dyDescent="0.25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</row>
    <row r="1027" spans="1:28" ht="14.4" x14ac:dyDescent="0.25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</row>
    <row r="1028" spans="1:28" ht="14.4" x14ac:dyDescent="0.25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</row>
    <row r="1029" spans="1:28" ht="14.4" x14ac:dyDescent="0.25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</row>
    <row r="1030" spans="1:28" ht="14.4" x14ac:dyDescent="0.25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</row>
    <row r="1031" spans="1:28" ht="14.4" x14ac:dyDescent="0.25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</row>
  </sheetData>
  <mergeCells count="17">
    <mergeCell ref="A1:N1"/>
    <mergeCell ref="A2:N2"/>
    <mergeCell ref="A5:B5"/>
    <mergeCell ref="C5:D5"/>
    <mergeCell ref="E5:F5"/>
    <mergeCell ref="G5:H5"/>
    <mergeCell ref="I5:J5"/>
    <mergeCell ref="A11:B11"/>
    <mergeCell ref="A12:B12"/>
    <mergeCell ref="A14:B14"/>
    <mergeCell ref="A17:B17"/>
    <mergeCell ref="A18:B18"/>
    <mergeCell ref="K5:L5"/>
    <mergeCell ref="M5:N5"/>
    <mergeCell ref="A7:B7"/>
    <mergeCell ref="A8:B8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BỆNH VIỆN</vt:lpstr>
      <vt:lpstr>MKT</vt:lpstr>
      <vt:lpstr>BSHT.CTV</vt:lpstr>
      <vt:lpstr>BC SỐ LIỆU</vt:lpstr>
      <vt:lpstr>Nguồn MKT&amp;BV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CSKH</dc:creator>
  <cp:lastModifiedBy>CSKH</cp:lastModifiedBy>
  <dcterms:created xsi:type="dcterms:W3CDTF">2026-03-03T02:14:07Z</dcterms:created>
  <dcterms:modified xsi:type="dcterms:W3CDTF">2026-03-03T02:50:22Z</dcterms:modified>
</cp:coreProperties>
</file>